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malte.luecken/helmholtz_munich/benchmarking_data_integration/Paper/202010_Revision/Supplementary Files/"/>
    </mc:Choice>
  </mc:AlternateContent>
  <xr:revisionPtr revIDLastSave="0" documentId="13_ncr:1_{7E1F613F-EE07-7645-ABD9-3C4D3C060E86}" xr6:coauthVersionLast="36" xr6:coauthVersionMax="36" xr10:uidLastSave="{00000000-0000-0000-0000-000000000000}"/>
  <bookViews>
    <workbookView xWindow="2040" yWindow="1940" windowWidth="18820" windowHeight="13940" tabRatio="500" xr2:uid="{00000000-000D-0000-FFFF-FFFF00000000}"/>
  </bookViews>
  <sheets>
    <sheet name="Human Pancreas" sheetId="1" r:id="rId1"/>
    <sheet name="Lung" sheetId="5" r:id="rId2"/>
    <sheet name="Immune cells" sheetId="4" r:id="rId3"/>
    <sheet name="Mouse Brain" sheetId="3" r:id="rId4"/>
    <sheet name="ATAC_small_genes" sheetId="7" r:id="rId5"/>
    <sheet name="ATAC_large_genes" sheetId="2" r:id="rId6"/>
    <sheet name="ATAC_small_peaks" sheetId="9" r:id="rId7"/>
    <sheet name="ATAC_large_peaks" sheetId="10" r:id="rId8"/>
    <sheet name="ATAC_small_windows" sheetId="8" r:id="rId9"/>
    <sheet name="ATAC_large_windows" sheetId="11" r:id="rId10"/>
  </sheets>
  <calcPr calcId="181029"/>
  <extLs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B12" i="1" l="1"/>
  <c r="C17" i="11" l="1"/>
  <c r="E11" i="11"/>
  <c r="F11" i="11" s="1"/>
  <c r="F4" i="11"/>
  <c r="E4" i="11"/>
  <c r="E2" i="11"/>
  <c r="F2" i="11" s="1"/>
  <c r="C17" i="10"/>
  <c r="E11" i="10"/>
  <c r="E4" i="10"/>
  <c r="E2" i="10"/>
  <c r="B8" i="9"/>
  <c r="C4" i="9"/>
  <c r="C3" i="9"/>
  <c r="C2" i="9"/>
  <c r="B8" i="8"/>
  <c r="C4" i="8"/>
  <c r="C3" i="8"/>
  <c r="C2" i="8"/>
  <c r="F2" i="10" l="1"/>
  <c r="F4" i="10"/>
  <c r="F11" i="10"/>
  <c r="E11" i="2"/>
  <c r="E4" i="2"/>
  <c r="E2" i="2"/>
  <c r="C3" i="7"/>
  <c r="C4" i="7"/>
  <c r="C2" i="7"/>
  <c r="B8" i="7"/>
  <c r="C17" i="2"/>
  <c r="C32" i="4"/>
  <c r="C6" i="4"/>
  <c r="B6" i="4"/>
  <c r="C20" i="5"/>
  <c r="B7" i="3"/>
  <c r="F11" i="2" l="1"/>
  <c r="F4" i="2"/>
  <c r="F2" i="2"/>
</calcChain>
</file>

<file path=xl/sharedStrings.xml><?xml version="1.0" encoding="utf-8"?>
<sst xmlns="http://schemas.openxmlformats.org/spreadsheetml/2006/main" count="220" uniqueCount="103">
  <si>
    <t>Mouse brain data set:</t>
  </si>
  <si>
    <t>Human Pancreas:</t>
  </si>
  <si>
    <t>Tabula_muris</t>
  </si>
  <si>
    <t>Rosenberg</t>
  </si>
  <si>
    <t>Zeisel</t>
  </si>
  <si>
    <t>Saunders</t>
  </si>
  <si>
    <t>Total:</t>
  </si>
  <si>
    <t>Total</t>
  </si>
  <si>
    <t>ATAC data set</t>
  </si>
  <si>
    <t>Fang data</t>
  </si>
  <si>
    <t>10x data</t>
  </si>
  <si>
    <t>CEMBA180226_1A</t>
  </si>
  <si>
    <t xml:space="preserve"> </t>
  </si>
  <si>
    <t>CEMBA180227_1A</t>
  </si>
  <si>
    <t>CEMBA180306_2B</t>
  </si>
  <si>
    <t>CEMBA180305_2B</t>
  </si>
  <si>
    <t>CEMBA180308_3B</t>
  </si>
  <si>
    <t>CEMBA180312_3B</t>
  </si>
  <si>
    <t>Cusanovich scATAC atlas</t>
  </si>
  <si>
    <t>Cerebellum_62216</t>
  </si>
  <si>
    <t>Prefrontal_Cortex_62216</t>
  </si>
  <si>
    <t>WholebrainA_62216</t>
  </si>
  <si>
    <t>WholebrainA_62816</t>
  </si>
  <si>
    <t>Sample 1</t>
  </si>
  <si>
    <t>Cell Number</t>
  </si>
  <si>
    <t>Samples</t>
  </si>
  <si>
    <t>Total samples</t>
  </si>
  <si>
    <t>Total cells</t>
  </si>
  <si>
    <t>Human</t>
  </si>
  <si>
    <t>Mouse</t>
  </si>
  <si>
    <t>Lung data set</t>
  </si>
  <si>
    <t>Sanger data</t>
  </si>
  <si>
    <t>Schiller lab data</t>
  </si>
  <si>
    <t>296C</t>
  </si>
  <si>
    <t>ASK440</t>
  </si>
  <si>
    <t>302C</t>
  </si>
  <si>
    <t>ARMS054</t>
  </si>
  <si>
    <t>ARMS051</t>
  </si>
  <si>
    <t>298C</t>
  </si>
  <si>
    <t>ASK454</t>
  </si>
  <si>
    <t>ASK428</t>
  </si>
  <si>
    <t>290B</t>
  </si>
  <si>
    <t>ASK452</t>
  </si>
  <si>
    <t>ARMS026</t>
  </si>
  <si>
    <t>ARMS032</t>
  </si>
  <si>
    <t>ARMS038</t>
  </si>
  <si>
    <t>284C</t>
  </si>
  <si>
    <t>ARMS040</t>
  </si>
  <si>
    <t>292B</t>
  </si>
  <si>
    <t xml:space="preserve"> (transplant)</t>
  </si>
  <si>
    <t>(biopsy)</t>
  </si>
  <si>
    <t>(transplant)</t>
  </si>
  <si>
    <t>10x</t>
  </si>
  <si>
    <t>Cells</t>
  </si>
  <si>
    <t>Total publications</t>
  </si>
  <si>
    <t>Data from:</t>
  </si>
  <si>
    <t>10X</t>
  </si>
  <si>
    <t>Freytag et al</t>
  </si>
  <si>
    <t>Sun et al</t>
  </si>
  <si>
    <t>Villani et al</t>
  </si>
  <si>
    <t>Oetjen et al</t>
  </si>
  <si>
    <t>Mouse cell atlas</t>
  </si>
  <si>
    <t>Dahlin et al</t>
  </si>
  <si>
    <t>Oetjen_1</t>
  </si>
  <si>
    <t>Oetjen_2</t>
  </si>
  <si>
    <t>Oetjen_3</t>
  </si>
  <si>
    <t>MCA_cKit_1</t>
  </si>
  <si>
    <t>MCA_cKit_2</t>
  </si>
  <si>
    <t>MCA_cKit_3</t>
  </si>
  <si>
    <t>Dahlin_1</t>
  </si>
  <si>
    <t>Dahlin_2</t>
  </si>
  <si>
    <t>Dahlin_3</t>
  </si>
  <si>
    <t>Dahlin_4</t>
  </si>
  <si>
    <t>Sun_1</t>
  </si>
  <si>
    <t>Sun_2</t>
  </si>
  <si>
    <t>Sun_3</t>
  </si>
  <si>
    <t>Sun_4</t>
  </si>
  <si>
    <t>Villani_1</t>
  </si>
  <si>
    <t>MCA_1</t>
  </si>
  <si>
    <t>MCA_2</t>
  </si>
  <si>
    <t>MCA_3</t>
  </si>
  <si>
    <t>MCA_4</t>
  </si>
  <si>
    <t>MCA_5</t>
  </si>
  <si>
    <t>MCA_6</t>
  </si>
  <si>
    <t>Human Bone Marrow</t>
  </si>
  <si>
    <t>Mouse Bone Marrow</t>
  </si>
  <si>
    <t>Human PBMC</t>
  </si>
  <si>
    <t>Mouse Peripheral Blood</t>
  </si>
  <si>
    <t>small</t>
  </si>
  <si>
    <t xml:space="preserve">10x </t>
  </si>
  <si>
    <t>Cells per dataset</t>
  </si>
  <si>
    <t>Percentage of cells</t>
  </si>
  <si>
    <t>Cusanovich (WholeBrainA_62216)</t>
  </si>
  <si>
    <t>Fang (CEMBA180305_2B)</t>
  </si>
  <si>
    <t xml:space="preserve">inDrop3       </t>
  </si>
  <si>
    <t xml:space="preserve">smartseq2     </t>
  </si>
  <si>
    <t xml:space="preserve">celseq2       </t>
  </si>
  <si>
    <t xml:space="preserve">inDrop1       </t>
  </si>
  <si>
    <t xml:space="preserve">inDrop2       </t>
  </si>
  <si>
    <t xml:space="preserve">smarter       </t>
  </si>
  <si>
    <t xml:space="preserve">inDrop4       </t>
  </si>
  <si>
    <t xml:space="preserve">celseq        </t>
  </si>
  <si>
    <t xml:space="preserve">fluidigmc1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</si>
</sst>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1D1C1D"/>
      <name val="Calibri"/>
      <family val="2"/>
      <scheme val="minor"/>
    </font>
    <font>
      <sz val="12"/>
      <color rgb="FF1D1C1D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0" fillId="0" borderId="0" xfId="0" applyFont="1"/>
    <xf numFmtId="0" fontId="9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D13" sqref="D13"/>
    </sheetView>
  </sheetViews>
  <sheetFormatPr baseColWidth="10" defaultRowHeight="16" x14ac:dyDescent="0.2"/>
  <cols>
    <col min="1" max="1" width="16" bestFit="1" customWidth="1"/>
  </cols>
  <sheetData>
    <row r="1" spans="1:2" x14ac:dyDescent="0.2">
      <c r="A1" s="3" t="s">
        <v>1</v>
      </c>
    </row>
    <row r="2" spans="1:2" x14ac:dyDescent="0.2">
      <c r="A2" t="s">
        <v>94</v>
      </c>
      <c r="B2">
        <v>3605</v>
      </c>
    </row>
    <row r="3" spans="1:2" x14ac:dyDescent="0.2">
      <c r="A3" t="s">
        <v>95</v>
      </c>
      <c r="B3">
        <v>2394</v>
      </c>
    </row>
    <row r="4" spans="1:2" x14ac:dyDescent="0.2">
      <c r="A4" t="s">
        <v>96</v>
      </c>
      <c r="B4">
        <v>2285</v>
      </c>
    </row>
    <row r="5" spans="1:2" x14ac:dyDescent="0.2">
      <c r="A5" t="s">
        <v>97</v>
      </c>
      <c r="B5">
        <v>1937</v>
      </c>
    </row>
    <row r="6" spans="1:2" x14ac:dyDescent="0.2">
      <c r="A6" t="s">
        <v>98</v>
      </c>
      <c r="B6">
        <v>1724</v>
      </c>
    </row>
    <row r="7" spans="1:2" x14ac:dyDescent="0.2">
      <c r="A7" t="s">
        <v>99</v>
      </c>
      <c r="B7">
        <v>1492</v>
      </c>
    </row>
    <row r="8" spans="1:2" x14ac:dyDescent="0.2">
      <c r="A8" t="s">
        <v>100</v>
      </c>
      <c r="B8">
        <v>1303</v>
      </c>
    </row>
    <row r="9" spans="1:2" x14ac:dyDescent="0.2">
      <c r="A9" t="s">
        <v>101</v>
      </c>
      <c r="B9">
        <v>1004</v>
      </c>
    </row>
    <row r="10" spans="1:2" x14ac:dyDescent="0.2">
      <c r="A10" t="s">
        <v>102</v>
      </c>
      <c r="B10">
        <v>638</v>
      </c>
    </row>
    <row r="12" spans="1:2" x14ac:dyDescent="0.2">
      <c r="A12" t="s">
        <v>6</v>
      </c>
      <c r="B12">
        <f>SUM(B2:B10)</f>
        <v>16382</v>
      </c>
    </row>
    <row r="14" spans="1:2" x14ac:dyDescent="0.2">
      <c r="A14" s="3" t="s">
        <v>54</v>
      </c>
      <c r="B1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E19" sqref="E19"/>
    </sheetView>
  </sheetViews>
  <sheetFormatPr baseColWidth="10" defaultRowHeight="16" x14ac:dyDescent="0.2"/>
  <cols>
    <col min="1" max="1" width="14" bestFit="1" customWidth="1"/>
    <col min="2" max="2" width="12.5" bestFit="1" customWidth="1"/>
    <col min="3" max="3" width="11.33203125" bestFit="1" customWidth="1"/>
    <col min="4" max="4" width="16" bestFit="1" customWidth="1"/>
  </cols>
  <sheetData>
    <row r="1" spans="1:3" x14ac:dyDescent="0.2">
      <c r="A1" s="3" t="s">
        <v>30</v>
      </c>
      <c r="B1" s="3" t="s">
        <v>25</v>
      </c>
      <c r="C1" s="3" t="s">
        <v>24</v>
      </c>
    </row>
    <row r="2" spans="1:3" x14ac:dyDescent="0.2">
      <c r="A2" t="s">
        <v>31</v>
      </c>
      <c r="B2" t="s">
        <v>33</v>
      </c>
      <c r="C2">
        <v>3763</v>
      </c>
    </row>
    <row r="3" spans="1:3" x14ac:dyDescent="0.2">
      <c r="A3" t="s">
        <v>49</v>
      </c>
      <c r="B3" t="s">
        <v>35</v>
      </c>
      <c r="C3">
        <v>3229</v>
      </c>
    </row>
    <row r="4" spans="1:3" x14ac:dyDescent="0.2">
      <c r="A4" t="s">
        <v>52</v>
      </c>
      <c r="B4" t="s">
        <v>38</v>
      </c>
      <c r="C4">
        <v>2379</v>
      </c>
    </row>
    <row r="5" spans="1:3" x14ac:dyDescent="0.2">
      <c r="B5" t="s">
        <v>41</v>
      </c>
      <c r="C5">
        <v>1988</v>
      </c>
    </row>
    <row r="6" spans="1:3" ht="20" x14ac:dyDescent="0.2">
      <c r="A6" s="1" t="s">
        <v>12</v>
      </c>
      <c r="B6" t="s">
        <v>46</v>
      </c>
      <c r="C6">
        <v>904</v>
      </c>
    </row>
    <row r="7" spans="1:3" ht="20" x14ac:dyDescent="0.2">
      <c r="A7" s="1" t="s">
        <v>12</v>
      </c>
      <c r="B7" t="s">
        <v>48</v>
      </c>
      <c r="C7">
        <v>462</v>
      </c>
    </row>
    <row r="8" spans="1:3" x14ac:dyDescent="0.2">
      <c r="A8" t="s">
        <v>31</v>
      </c>
      <c r="B8" t="s">
        <v>36</v>
      </c>
      <c r="C8">
        <v>2410</v>
      </c>
    </row>
    <row r="9" spans="1:3" x14ac:dyDescent="0.2">
      <c r="A9" t="s">
        <v>50</v>
      </c>
      <c r="B9" t="s">
        <v>37</v>
      </c>
      <c r="C9">
        <v>2406</v>
      </c>
    </row>
    <row r="10" spans="1:3" x14ac:dyDescent="0.2">
      <c r="A10" t="s">
        <v>52</v>
      </c>
      <c r="B10" t="s">
        <v>43</v>
      </c>
      <c r="C10">
        <v>1845</v>
      </c>
    </row>
    <row r="11" spans="1:3" x14ac:dyDescent="0.2">
      <c r="B11" t="s">
        <v>44</v>
      </c>
      <c r="C11">
        <v>1454</v>
      </c>
    </row>
    <row r="12" spans="1:3" ht="20" x14ac:dyDescent="0.2">
      <c r="A12" s="1" t="s">
        <v>12</v>
      </c>
      <c r="B12" t="s">
        <v>45</v>
      </c>
      <c r="C12">
        <v>1226</v>
      </c>
    </row>
    <row r="13" spans="1:3" ht="20" x14ac:dyDescent="0.2">
      <c r="A13" s="1"/>
      <c r="B13" t="s">
        <v>47</v>
      </c>
      <c r="C13">
        <v>705</v>
      </c>
    </row>
    <row r="14" spans="1:3" x14ac:dyDescent="0.2">
      <c r="A14" s="2" t="s">
        <v>32</v>
      </c>
      <c r="B14" t="s">
        <v>34</v>
      </c>
      <c r="C14">
        <v>3297</v>
      </c>
    </row>
    <row r="15" spans="1:3" x14ac:dyDescent="0.2">
      <c r="A15" t="s">
        <v>51</v>
      </c>
      <c r="B15" t="s">
        <v>39</v>
      </c>
      <c r="C15">
        <v>2353</v>
      </c>
    </row>
    <row r="16" spans="1:3" x14ac:dyDescent="0.2">
      <c r="A16" t="s">
        <v>52</v>
      </c>
      <c r="B16" t="s">
        <v>40</v>
      </c>
      <c r="C16">
        <v>2140</v>
      </c>
    </row>
    <row r="17" spans="2:4" x14ac:dyDescent="0.2">
      <c r="B17" t="s">
        <v>42</v>
      </c>
      <c r="C17">
        <v>1911</v>
      </c>
    </row>
    <row r="19" spans="2:4" x14ac:dyDescent="0.2">
      <c r="B19" s="3" t="s">
        <v>26</v>
      </c>
      <c r="C19" s="3" t="s">
        <v>27</v>
      </c>
      <c r="D19" s="3" t="s">
        <v>54</v>
      </c>
    </row>
    <row r="20" spans="2:4" x14ac:dyDescent="0.2">
      <c r="B20">
        <v>16</v>
      </c>
      <c r="C20">
        <f>SUM(C2:C17)</f>
        <v>32472</v>
      </c>
      <c r="D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"/>
  <sheetViews>
    <sheetView workbookViewId="0">
      <selection activeCell="H4" sqref="H4"/>
    </sheetView>
  </sheetViews>
  <sheetFormatPr baseColWidth="10" defaultRowHeight="16" x14ac:dyDescent="0.2"/>
  <cols>
    <col min="3" max="3" width="12.33203125" bestFit="1" customWidth="1"/>
    <col min="4" max="4" width="15.5" bestFit="1" customWidth="1"/>
  </cols>
  <sheetData>
    <row r="1" spans="1:4" x14ac:dyDescent="0.2">
      <c r="B1" s="3" t="s">
        <v>53</v>
      </c>
      <c r="C1" s="3" t="s">
        <v>25</v>
      </c>
    </row>
    <row r="2" spans="1:4" x14ac:dyDescent="0.2">
      <c r="A2" t="s">
        <v>28</v>
      </c>
      <c r="B2" s="5">
        <v>33506</v>
      </c>
      <c r="C2">
        <v>10</v>
      </c>
      <c r="D2" s="4"/>
    </row>
    <row r="3" spans="1:4" x14ac:dyDescent="0.2">
      <c r="A3" t="s">
        <v>29</v>
      </c>
      <c r="B3" s="5">
        <v>64446</v>
      </c>
      <c r="C3">
        <v>13</v>
      </c>
      <c r="D3" s="5"/>
    </row>
    <row r="5" spans="1:4" x14ac:dyDescent="0.2">
      <c r="B5" s="3" t="s">
        <v>27</v>
      </c>
      <c r="C5" s="3" t="s">
        <v>26</v>
      </c>
      <c r="D5" s="3" t="s">
        <v>54</v>
      </c>
    </row>
    <row r="6" spans="1:4" x14ac:dyDescent="0.2">
      <c r="B6">
        <f>SUM(B2:B3)</f>
        <v>97952</v>
      </c>
      <c r="C6">
        <f>SUM(C2:C3)</f>
        <v>23</v>
      </c>
      <c r="D6">
        <v>7</v>
      </c>
    </row>
    <row r="8" spans="1:4" x14ac:dyDescent="0.2">
      <c r="A8" t="s">
        <v>55</v>
      </c>
    </row>
    <row r="9" spans="1:4" x14ac:dyDescent="0.2">
      <c r="A9" t="s">
        <v>56</v>
      </c>
      <c r="C9">
        <v>10727</v>
      </c>
      <c r="D9" t="s">
        <v>86</v>
      </c>
    </row>
    <row r="10" spans="1:4" x14ac:dyDescent="0.2">
      <c r="A10" t="s">
        <v>57</v>
      </c>
      <c r="C10">
        <v>3347</v>
      </c>
      <c r="D10" t="s">
        <v>86</v>
      </c>
    </row>
    <row r="11" spans="1:4" x14ac:dyDescent="0.2">
      <c r="A11" t="s">
        <v>58</v>
      </c>
      <c r="B11" t="s">
        <v>73</v>
      </c>
      <c r="C11">
        <v>1725</v>
      </c>
      <c r="D11" t="s">
        <v>86</v>
      </c>
    </row>
    <row r="12" spans="1:4" x14ac:dyDescent="0.2">
      <c r="B12" t="s">
        <v>74</v>
      </c>
      <c r="C12">
        <v>2281</v>
      </c>
      <c r="D12" t="s">
        <v>86</v>
      </c>
    </row>
    <row r="13" spans="1:4" x14ac:dyDescent="0.2">
      <c r="B13" t="s">
        <v>75</v>
      </c>
      <c r="C13">
        <v>2403</v>
      </c>
      <c r="D13" t="s">
        <v>86</v>
      </c>
    </row>
    <row r="14" spans="1:4" x14ac:dyDescent="0.2">
      <c r="B14" t="s">
        <v>76</v>
      </c>
      <c r="C14">
        <v>2420</v>
      </c>
      <c r="D14" t="s">
        <v>86</v>
      </c>
    </row>
    <row r="15" spans="1:4" x14ac:dyDescent="0.2">
      <c r="A15" t="s">
        <v>59</v>
      </c>
      <c r="B15" t="s">
        <v>77</v>
      </c>
      <c r="C15">
        <v>1022</v>
      </c>
      <c r="D15" t="s">
        <v>86</v>
      </c>
    </row>
    <row r="16" spans="1:4" x14ac:dyDescent="0.2">
      <c r="A16" t="s">
        <v>60</v>
      </c>
      <c r="B16" t="s">
        <v>63</v>
      </c>
      <c r="C16">
        <v>2586</v>
      </c>
      <c r="D16" t="s">
        <v>84</v>
      </c>
    </row>
    <row r="17" spans="1:4" x14ac:dyDescent="0.2">
      <c r="B17" t="s">
        <v>64</v>
      </c>
      <c r="C17">
        <v>3265</v>
      </c>
      <c r="D17" t="s">
        <v>84</v>
      </c>
    </row>
    <row r="18" spans="1:4" x14ac:dyDescent="0.2">
      <c r="B18" t="s">
        <v>65</v>
      </c>
      <c r="C18">
        <v>3730</v>
      </c>
      <c r="D18" t="s">
        <v>84</v>
      </c>
    </row>
    <row r="19" spans="1:4" x14ac:dyDescent="0.2">
      <c r="A19" t="s">
        <v>62</v>
      </c>
      <c r="B19" t="s">
        <v>69</v>
      </c>
      <c r="C19">
        <v>7839</v>
      </c>
      <c r="D19" t="s">
        <v>85</v>
      </c>
    </row>
    <row r="20" spans="1:4" x14ac:dyDescent="0.2">
      <c r="B20" t="s">
        <v>70</v>
      </c>
      <c r="C20">
        <v>7576</v>
      </c>
      <c r="D20" t="s">
        <v>85</v>
      </c>
    </row>
    <row r="21" spans="1:4" x14ac:dyDescent="0.2">
      <c r="B21" t="s">
        <v>71</v>
      </c>
      <c r="C21">
        <v>7542</v>
      </c>
      <c r="D21" t="s">
        <v>85</v>
      </c>
    </row>
    <row r="22" spans="1:4" x14ac:dyDescent="0.2">
      <c r="B22" t="s">
        <v>72</v>
      </c>
      <c r="C22">
        <v>7448</v>
      </c>
      <c r="D22" t="s">
        <v>85</v>
      </c>
    </row>
    <row r="23" spans="1:4" x14ac:dyDescent="0.2">
      <c r="A23" t="s">
        <v>61</v>
      </c>
      <c r="B23" t="s">
        <v>66</v>
      </c>
      <c r="C23">
        <v>5286</v>
      </c>
      <c r="D23" t="s">
        <v>85</v>
      </c>
    </row>
    <row r="24" spans="1:4" x14ac:dyDescent="0.2">
      <c r="B24" t="s">
        <v>67</v>
      </c>
      <c r="C24">
        <v>13015</v>
      </c>
      <c r="D24" t="s">
        <v>85</v>
      </c>
    </row>
    <row r="25" spans="1:4" x14ac:dyDescent="0.2">
      <c r="B25" t="s">
        <v>68</v>
      </c>
      <c r="C25">
        <v>8164</v>
      </c>
      <c r="D25" t="s">
        <v>85</v>
      </c>
    </row>
    <row r="26" spans="1:4" x14ac:dyDescent="0.2">
      <c r="B26" t="s">
        <v>78</v>
      </c>
      <c r="C26">
        <v>314</v>
      </c>
      <c r="D26" t="s">
        <v>87</v>
      </c>
    </row>
    <row r="27" spans="1:4" x14ac:dyDescent="0.2">
      <c r="B27" t="s">
        <v>79</v>
      </c>
      <c r="C27">
        <v>2699</v>
      </c>
      <c r="D27" t="s">
        <v>87</v>
      </c>
    </row>
    <row r="28" spans="1:4" x14ac:dyDescent="0.2">
      <c r="B28" t="s">
        <v>80</v>
      </c>
      <c r="C28">
        <v>3273</v>
      </c>
      <c r="D28" t="s">
        <v>87</v>
      </c>
    </row>
    <row r="29" spans="1:4" x14ac:dyDescent="0.2">
      <c r="B29" t="s">
        <v>81</v>
      </c>
      <c r="C29">
        <v>196</v>
      </c>
      <c r="D29" t="s">
        <v>87</v>
      </c>
    </row>
    <row r="30" spans="1:4" x14ac:dyDescent="0.2">
      <c r="B30" t="s">
        <v>82</v>
      </c>
      <c r="C30">
        <v>384</v>
      </c>
      <c r="D30" t="s">
        <v>87</v>
      </c>
    </row>
    <row r="31" spans="1:4" x14ac:dyDescent="0.2">
      <c r="B31" t="s">
        <v>83</v>
      </c>
      <c r="C31">
        <v>710</v>
      </c>
      <c r="D31" t="s">
        <v>87</v>
      </c>
    </row>
    <row r="32" spans="1:4" x14ac:dyDescent="0.2">
      <c r="C32">
        <f>SUM(C9:C31)</f>
        <v>97952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A10" sqref="A10:B10"/>
    </sheetView>
  </sheetViews>
  <sheetFormatPr baseColWidth="10" defaultRowHeight="16" x14ac:dyDescent="0.2"/>
  <cols>
    <col min="1" max="1" width="19.33203125" bestFit="1" customWidth="1"/>
  </cols>
  <sheetData>
    <row r="1" spans="1:2" x14ac:dyDescent="0.2">
      <c r="A1" s="3" t="s">
        <v>0</v>
      </c>
    </row>
    <row r="2" spans="1:2" x14ac:dyDescent="0.2">
      <c r="A2" t="s">
        <v>5</v>
      </c>
      <c r="B2">
        <v>691489</v>
      </c>
    </row>
    <row r="3" spans="1:2" x14ac:dyDescent="0.2">
      <c r="A3" t="s">
        <v>4</v>
      </c>
      <c r="B3">
        <v>145954</v>
      </c>
    </row>
    <row r="4" spans="1:2" x14ac:dyDescent="0.2">
      <c r="A4" t="s">
        <v>3</v>
      </c>
      <c r="B4">
        <v>133435</v>
      </c>
    </row>
    <row r="5" spans="1:2" x14ac:dyDescent="0.2">
      <c r="A5" t="s">
        <v>2</v>
      </c>
      <c r="B5">
        <v>7856</v>
      </c>
    </row>
    <row r="7" spans="1:2" x14ac:dyDescent="0.2">
      <c r="A7" s="3" t="s">
        <v>7</v>
      </c>
      <c r="B7">
        <f>SUM(B2:B5)</f>
        <v>978734</v>
      </c>
    </row>
    <row r="10" spans="1:2" x14ac:dyDescent="0.2">
      <c r="A10" s="3" t="s">
        <v>54</v>
      </c>
      <c r="B10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A2" sqref="A2:A4"/>
    </sheetView>
  </sheetViews>
  <sheetFormatPr baseColWidth="10" defaultRowHeight="16" x14ac:dyDescent="0.2"/>
  <cols>
    <col min="1" max="1" width="29.33203125" bestFit="1" customWidth="1"/>
    <col min="2" max="2" width="12.6640625" bestFit="1" customWidth="1"/>
    <col min="3" max="3" width="11.33203125" bestFit="1" customWidth="1"/>
  </cols>
  <sheetData>
    <row r="1" spans="1:3" x14ac:dyDescent="0.2">
      <c r="A1" s="3" t="s">
        <v>8</v>
      </c>
      <c r="B1" s="3" t="s">
        <v>24</v>
      </c>
    </row>
    <row r="2" spans="1:3" x14ac:dyDescent="0.2">
      <c r="A2" t="s">
        <v>89</v>
      </c>
      <c r="B2">
        <v>3618</v>
      </c>
      <c r="C2">
        <f>B2/SUM(B$2:B$4)</f>
        <v>0.32102928127772851</v>
      </c>
    </row>
    <row r="3" spans="1:3" x14ac:dyDescent="0.2">
      <c r="A3" t="s">
        <v>93</v>
      </c>
      <c r="B3">
        <v>3750</v>
      </c>
      <c r="C3">
        <f>B3/SUM(B$2:B$4)</f>
        <v>0.33274179236912155</v>
      </c>
    </row>
    <row r="4" spans="1:3" x14ac:dyDescent="0.2">
      <c r="A4" t="s">
        <v>92</v>
      </c>
      <c r="B4">
        <v>3902</v>
      </c>
      <c r="C4">
        <f>B4/SUM(B$2:B$4)</f>
        <v>0.34622892635314995</v>
      </c>
    </row>
    <row r="7" spans="1:3" x14ac:dyDescent="0.2">
      <c r="A7" s="3" t="s">
        <v>26</v>
      </c>
      <c r="B7" s="3" t="s">
        <v>27</v>
      </c>
      <c r="C7" s="3" t="s">
        <v>54</v>
      </c>
    </row>
    <row r="8" spans="1:3" x14ac:dyDescent="0.2">
      <c r="A8" s="7">
        <v>3</v>
      </c>
      <c r="B8" s="7">
        <f>SUM(B2:B4)</f>
        <v>11270</v>
      </c>
      <c r="C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C20" sqref="C20"/>
    </sheetView>
  </sheetViews>
  <sheetFormatPr baseColWidth="10" defaultRowHeight="16" x14ac:dyDescent="0.2"/>
  <cols>
    <col min="1" max="1" width="21" bestFit="1" customWidth="1"/>
    <col min="2" max="2" width="21.6640625" bestFit="1" customWidth="1"/>
    <col min="4" max="4" width="16" bestFit="1" customWidth="1"/>
    <col min="5" max="5" width="14.83203125" bestFit="1" customWidth="1"/>
    <col min="6" max="6" width="16.83203125" bestFit="1" customWidth="1"/>
  </cols>
  <sheetData>
    <row r="1" spans="1:6" x14ac:dyDescent="0.2">
      <c r="A1" s="3" t="s">
        <v>8</v>
      </c>
      <c r="B1" s="3" t="s">
        <v>25</v>
      </c>
      <c r="C1" s="3" t="s">
        <v>24</v>
      </c>
      <c r="E1" s="3" t="s">
        <v>90</v>
      </c>
      <c r="F1" s="3" t="s">
        <v>91</v>
      </c>
    </row>
    <row r="2" spans="1:6" x14ac:dyDescent="0.2">
      <c r="A2" t="s">
        <v>10</v>
      </c>
      <c r="B2" t="s">
        <v>23</v>
      </c>
      <c r="C2">
        <v>3667</v>
      </c>
      <c r="E2">
        <f>SUM(C2)</f>
        <v>3667</v>
      </c>
      <c r="F2" s="8">
        <f>E2/SUM(E$2:E$11)</f>
        <v>4.323629632249773E-2</v>
      </c>
    </row>
    <row r="3" spans="1:6" x14ac:dyDescent="0.2">
      <c r="F3" s="8"/>
    </row>
    <row r="4" spans="1:6" x14ac:dyDescent="0.2">
      <c r="A4" t="s">
        <v>9</v>
      </c>
      <c r="B4" t="s">
        <v>13</v>
      </c>
      <c r="C4">
        <v>9967</v>
      </c>
      <c r="E4">
        <f>SUM(C4:C9)</f>
        <v>63705</v>
      </c>
      <c r="F4" s="8">
        <f>E4/SUM(E$2:E$11)</f>
        <v>0.75112305896501719</v>
      </c>
    </row>
    <row r="5" spans="1:6" x14ac:dyDescent="0.2">
      <c r="B5" t="s">
        <v>11</v>
      </c>
      <c r="C5">
        <v>11034</v>
      </c>
    </row>
    <row r="6" spans="1:6" ht="20" x14ac:dyDescent="0.2">
      <c r="A6" s="1" t="s">
        <v>12</v>
      </c>
      <c r="B6" t="s">
        <v>14</v>
      </c>
      <c r="C6">
        <v>10981</v>
      </c>
    </row>
    <row r="7" spans="1:6" ht="20" x14ac:dyDescent="0.2">
      <c r="A7" s="1" t="s">
        <v>12</v>
      </c>
      <c r="B7" t="s">
        <v>15</v>
      </c>
      <c r="C7">
        <v>10294</v>
      </c>
      <c r="F7" s="8"/>
    </row>
    <row r="8" spans="1:6" ht="20" x14ac:dyDescent="0.2">
      <c r="A8" s="1" t="s">
        <v>12</v>
      </c>
      <c r="B8" t="s">
        <v>16</v>
      </c>
      <c r="C8">
        <v>10889</v>
      </c>
      <c r="F8" s="8"/>
    </row>
    <row r="9" spans="1:6" ht="20" x14ac:dyDescent="0.2">
      <c r="A9" s="1" t="s">
        <v>12</v>
      </c>
      <c r="B9" t="s">
        <v>17</v>
      </c>
      <c r="C9">
        <v>10540</v>
      </c>
      <c r="F9" s="8"/>
    </row>
    <row r="10" spans="1:6" x14ac:dyDescent="0.2">
      <c r="F10" s="8"/>
    </row>
    <row r="11" spans="1:6" x14ac:dyDescent="0.2">
      <c r="A11" s="2" t="s">
        <v>18</v>
      </c>
      <c r="B11" t="s">
        <v>19</v>
      </c>
      <c r="C11">
        <v>2321</v>
      </c>
      <c r="E11">
        <f>SUM(C11:C14)</f>
        <v>17441</v>
      </c>
      <c r="F11" s="8">
        <f>E11/SUM(E$2:E$11)</f>
        <v>0.20564064471248511</v>
      </c>
    </row>
    <row r="12" spans="1:6" ht="20" x14ac:dyDescent="0.2">
      <c r="A12" s="1" t="s">
        <v>12</v>
      </c>
      <c r="B12" t="s">
        <v>20</v>
      </c>
      <c r="C12">
        <v>6023</v>
      </c>
      <c r="F12" s="8"/>
    </row>
    <row r="13" spans="1:6" ht="20" x14ac:dyDescent="0.2">
      <c r="A13" s="1"/>
      <c r="B13" t="s">
        <v>21</v>
      </c>
      <c r="C13">
        <v>5814</v>
      </c>
      <c r="F13" s="8"/>
    </row>
    <row r="14" spans="1:6" ht="20" x14ac:dyDescent="0.2">
      <c r="A14" s="1"/>
      <c r="B14" t="s">
        <v>22</v>
      </c>
      <c r="C14">
        <v>3283</v>
      </c>
      <c r="F14" s="8"/>
    </row>
    <row r="15" spans="1:6" x14ac:dyDescent="0.2">
      <c r="F15" s="8"/>
    </row>
    <row r="16" spans="1:6" x14ac:dyDescent="0.2">
      <c r="B16" s="3" t="s">
        <v>26</v>
      </c>
      <c r="C16" s="3" t="s">
        <v>27</v>
      </c>
      <c r="D16" s="3" t="s">
        <v>54</v>
      </c>
      <c r="F16" s="8"/>
    </row>
    <row r="17" spans="2:6" x14ac:dyDescent="0.2">
      <c r="B17" s="7">
        <v>11</v>
      </c>
      <c r="C17" s="7">
        <f>SUM(C2:C14)</f>
        <v>84813</v>
      </c>
      <c r="D17">
        <v>3</v>
      </c>
      <c r="F17" s="8"/>
    </row>
    <row r="18" spans="2:6" x14ac:dyDescent="0.2">
      <c r="B18" s="7"/>
      <c r="C18" s="7"/>
      <c r="F18" s="8"/>
    </row>
    <row r="19" spans="2:6" x14ac:dyDescent="0.2">
      <c r="B19" s="7"/>
      <c r="C19" s="6"/>
      <c r="F19" s="8"/>
    </row>
    <row r="20" spans="2:6" x14ac:dyDescent="0.2">
      <c r="B20" s="7" t="s">
        <v>88</v>
      </c>
      <c r="C20" s="6">
        <v>11270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CFB8-FFD2-AA43-B356-4B05C06AD223}">
  <dimension ref="A1:C8"/>
  <sheetViews>
    <sheetView workbookViewId="0">
      <selection activeCell="E14" sqref="E14"/>
    </sheetView>
  </sheetViews>
  <sheetFormatPr baseColWidth="10" defaultRowHeight="16" x14ac:dyDescent="0.2"/>
  <cols>
    <col min="1" max="1" width="29.33203125" bestFit="1" customWidth="1"/>
    <col min="2" max="2" width="12.6640625" bestFit="1" customWidth="1"/>
    <col min="3" max="3" width="11.33203125" bestFit="1" customWidth="1"/>
  </cols>
  <sheetData>
    <row r="1" spans="1:3" x14ac:dyDescent="0.2">
      <c r="A1" s="3" t="s">
        <v>8</v>
      </c>
      <c r="B1" s="3" t="s">
        <v>24</v>
      </c>
    </row>
    <row r="2" spans="1:3" x14ac:dyDescent="0.2">
      <c r="A2" t="s">
        <v>89</v>
      </c>
      <c r="B2">
        <v>3618</v>
      </c>
      <c r="C2">
        <f>B2/SUM(B$2:B$4)</f>
        <v>0.31197723549193757</v>
      </c>
    </row>
    <row r="3" spans="1:3" x14ac:dyDescent="0.2">
      <c r="A3" t="s">
        <v>93</v>
      </c>
      <c r="B3">
        <v>3999</v>
      </c>
      <c r="C3">
        <f>B3/SUM(B$2:B$4)</f>
        <v>0.34483055962748987</v>
      </c>
    </row>
    <row r="4" spans="1:3" x14ac:dyDescent="0.2">
      <c r="A4" t="s">
        <v>92</v>
      </c>
      <c r="B4">
        <v>3980</v>
      </c>
      <c r="C4">
        <f>B4/SUM(B$2:B$4)</f>
        <v>0.34319220488057256</v>
      </c>
    </row>
    <row r="7" spans="1:3" x14ac:dyDescent="0.2">
      <c r="A7" s="3" t="s">
        <v>26</v>
      </c>
      <c r="B7" s="3" t="s">
        <v>27</v>
      </c>
      <c r="C7" s="3" t="s">
        <v>54</v>
      </c>
    </row>
    <row r="8" spans="1:3" x14ac:dyDescent="0.2">
      <c r="A8" s="7">
        <v>3</v>
      </c>
      <c r="B8" s="7">
        <f>SUM(B2:B4)</f>
        <v>11597</v>
      </c>
      <c r="C8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17AD-F6E9-064C-ADB3-62F73879D6A3}">
  <dimension ref="A1:F20"/>
  <sheetViews>
    <sheetView workbookViewId="0">
      <selection activeCell="C20" sqref="C20"/>
    </sheetView>
  </sheetViews>
  <sheetFormatPr baseColWidth="10" defaultRowHeight="16" x14ac:dyDescent="0.2"/>
  <cols>
    <col min="1" max="1" width="21" bestFit="1" customWidth="1"/>
    <col min="2" max="2" width="21.6640625" bestFit="1" customWidth="1"/>
    <col min="4" max="4" width="16" bestFit="1" customWidth="1"/>
    <col min="5" max="5" width="14.83203125" bestFit="1" customWidth="1"/>
    <col min="6" max="6" width="16.83203125" bestFit="1" customWidth="1"/>
  </cols>
  <sheetData>
    <row r="1" spans="1:6" x14ac:dyDescent="0.2">
      <c r="A1" s="3" t="s">
        <v>8</v>
      </c>
      <c r="B1" s="3" t="s">
        <v>25</v>
      </c>
      <c r="C1" s="3" t="s">
        <v>24</v>
      </c>
      <c r="E1" s="3" t="s">
        <v>90</v>
      </c>
      <c r="F1" s="3" t="s">
        <v>91</v>
      </c>
    </row>
    <row r="2" spans="1:6" x14ac:dyDescent="0.2">
      <c r="A2" t="s">
        <v>10</v>
      </c>
      <c r="B2" t="s">
        <v>23</v>
      </c>
      <c r="C2">
        <v>3667</v>
      </c>
      <c r="E2">
        <f>SUM(C2)</f>
        <v>3667</v>
      </c>
      <c r="F2" s="8">
        <f>E2/SUM(E$2:E$11)</f>
        <v>4.323629632249773E-2</v>
      </c>
    </row>
    <row r="3" spans="1:6" x14ac:dyDescent="0.2">
      <c r="F3" s="8"/>
    </row>
    <row r="4" spans="1:6" x14ac:dyDescent="0.2">
      <c r="A4" t="s">
        <v>9</v>
      </c>
      <c r="B4" t="s">
        <v>13</v>
      </c>
      <c r="C4">
        <v>9967</v>
      </c>
      <c r="E4">
        <f>SUM(C4:C9)</f>
        <v>63705</v>
      </c>
      <c r="F4" s="8">
        <f>E4/SUM(E$2:E$11)</f>
        <v>0.75112305896501719</v>
      </c>
    </row>
    <row r="5" spans="1:6" x14ac:dyDescent="0.2">
      <c r="B5" t="s">
        <v>11</v>
      </c>
      <c r="C5">
        <v>11034</v>
      </c>
    </row>
    <row r="6" spans="1:6" ht="20" x14ac:dyDescent="0.2">
      <c r="A6" s="1" t="s">
        <v>12</v>
      </c>
      <c r="B6" t="s">
        <v>14</v>
      </c>
      <c r="C6">
        <v>10981</v>
      </c>
    </row>
    <row r="7" spans="1:6" ht="20" x14ac:dyDescent="0.2">
      <c r="A7" s="1" t="s">
        <v>12</v>
      </c>
      <c r="B7" t="s">
        <v>15</v>
      </c>
      <c r="C7">
        <v>10294</v>
      </c>
      <c r="F7" s="8"/>
    </row>
    <row r="8" spans="1:6" ht="20" x14ac:dyDescent="0.2">
      <c r="A8" s="1" t="s">
        <v>12</v>
      </c>
      <c r="B8" t="s">
        <v>16</v>
      </c>
      <c r="C8">
        <v>10889</v>
      </c>
      <c r="F8" s="8"/>
    </row>
    <row r="9" spans="1:6" ht="20" x14ac:dyDescent="0.2">
      <c r="A9" s="1" t="s">
        <v>12</v>
      </c>
      <c r="B9" t="s">
        <v>17</v>
      </c>
      <c r="C9">
        <v>10540</v>
      </c>
      <c r="F9" s="8"/>
    </row>
    <row r="10" spans="1:6" x14ac:dyDescent="0.2">
      <c r="F10" s="8"/>
    </row>
    <row r="11" spans="1:6" x14ac:dyDescent="0.2">
      <c r="A11" s="2" t="s">
        <v>18</v>
      </c>
      <c r="B11" t="s">
        <v>19</v>
      </c>
      <c r="C11">
        <v>2321</v>
      </c>
      <c r="E11">
        <f>SUM(C11:C14)</f>
        <v>17441</v>
      </c>
      <c r="F11" s="8">
        <f>E11/SUM(E$2:E$11)</f>
        <v>0.20564064471248511</v>
      </c>
    </row>
    <row r="12" spans="1:6" ht="20" x14ac:dyDescent="0.2">
      <c r="A12" s="1" t="s">
        <v>12</v>
      </c>
      <c r="B12" t="s">
        <v>20</v>
      </c>
      <c r="C12">
        <v>6023</v>
      </c>
      <c r="F12" s="8"/>
    </row>
    <row r="13" spans="1:6" ht="20" x14ac:dyDescent="0.2">
      <c r="A13" s="1"/>
      <c r="B13" t="s">
        <v>21</v>
      </c>
      <c r="C13">
        <v>5814</v>
      </c>
      <c r="F13" s="8"/>
    </row>
    <row r="14" spans="1:6" ht="20" x14ac:dyDescent="0.2">
      <c r="A14" s="1"/>
      <c r="B14" t="s">
        <v>22</v>
      </c>
      <c r="C14">
        <v>3283</v>
      </c>
      <c r="F14" s="8"/>
    </row>
    <row r="15" spans="1:6" x14ac:dyDescent="0.2">
      <c r="F15" s="8"/>
    </row>
    <row r="16" spans="1:6" x14ac:dyDescent="0.2">
      <c r="B16" s="3" t="s">
        <v>26</v>
      </c>
      <c r="C16" s="3" t="s">
        <v>27</v>
      </c>
      <c r="D16" s="3" t="s">
        <v>54</v>
      </c>
      <c r="F16" s="8"/>
    </row>
    <row r="17" spans="2:6" x14ac:dyDescent="0.2">
      <c r="B17" s="7">
        <v>11</v>
      </c>
      <c r="C17" s="7">
        <f>SUM(C2:C14)</f>
        <v>84813</v>
      </c>
      <c r="D17">
        <v>3</v>
      </c>
      <c r="F17" s="8"/>
    </row>
    <row r="18" spans="2:6" x14ac:dyDescent="0.2">
      <c r="B18" s="7"/>
      <c r="C18" s="7"/>
      <c r="F18" s="8"/>
    </row>
    <row r="19" spans="2:6" x14ac:dyDescent="0.2">
      <c r="B19" s="7"/>
      <c r="C19" s="6"/>
      <c r="F19" s="8"/>
    </row>
    <row r="20" spans="2:6" x14ac:dyDescent="0.2">
      <c r="B20" s="7" t="s">
        <v>88</v>
      </c>
      <c r="C20" s="6">
        <v>11597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802F-C27E-D94F-ADCC-D76EFBB5BE70}">
  <dimension ref="A1:C8"/>
  <sheetViews>
    <sheetView workbookViewId="0">
      <selection activeCell="G4" sqref="G4"/>
    </sheetView>
  </sheetViews>
  <sheetFormatPr baseColWidth="10" defaultRowHeight="16" x14ac:dyDescent="0.2"/>
  <cols>
    <col min="1" max="1" width="29.33203125" bestFit="1" customWidth="1"/>
    <col min="2" max="2" width="12.6640625" bestFit="1" customWidth="1"/>
    <col min="3" max="3" width="11.33203125" bestFit="1" customWidth="1"/>
  </cols>
  <sheetData>
    <row r="1" spans="1:3" x14ac:dyDescent="0.2">
      <c r="A1" s="3" t="s">
        <v>8</v>
      </c>
      <c r="B1" s="3" t="s">
        <v>24</v>
      </c>
    </row>
    <row r="2" spans="1:3" x14ac:dyDescent="0.2">
      <c r="A2" t="s">
        <v>89</v>
      </c>
      <c r="B2">
        <v>3667</v>
      </c>
      <c r="C2">
        <f>B2/SUM(B$2:B$4)</f>
        <v>0.34076758665551526</v>
      </c>
    </row>
    <row r="3" spans="1:3" x14ac:dyDescent="0.2">
      <c r="A3" t="s">
        <v>93</v>
      </c>
      <c r="B3">
        <v>3543</v>
      </c>
      <c r="C3">
        <f>B3/SUM(B$2:B$4)</f>
        <v>0.32924449400613326</v>
      </c>
    </row>
    <row r="4" spans="1:3" x14ac:dyDescent="0.2">
      <c r="A4" t="s">
        <v>92</v>
      </c>
      <c r="B4">
        <v>3551</v>
      </c>
      <c r="C4">
        <f>B4/SUM(B$2:B$4)</f>
        <v>0.32998791933835148</v>
      </c>
    </row>
    <row r="7" spans="1:3" x14ac:dyDescent="0.2">
      <c r="A7" s="3" t="s">
        <v>26</v>
      </c>
      <c r="B7" s="3" t="s">
        <v>27</v>
      </c>
      <c r="C7" s="3" t="s">
        <v>54</v>
      </c>
    </row>
    <row r="8" spans="1:3" x14ac:dyDescent="0.2">
      <c r="A8" s="7">
        <v>3</v>
      </c>
      <c r="B8" s="7">
        <f>SUM(B2:B4)</f>
        <v>10761</v>
      </c>
      <c r="C8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5EA4-C60D-2E4A-BF65-5FA244A0E1A2}">
  <dimension ref="A1:F20"/>
  <sheetViews>
    <sheetView workbookViewId="0">
      <selection activeCell="C20" sqref="C20"/>
    </sheetView>
  </sheetViews>
  <sheetFormatPr baseColWidth="10" defaultRowHeight="16" x14ac:dyDescent="0.2"/>
  <cols>
    <col min="1" max="1" width="21" bestFit="1" customWidth="1"/>
    <col min="2" max="2" width="21.6640625" bestFit="1" customWidth="1"/>
    <col min="4" max="4" width="16" bestFit="1" customWidth="1"/>
    <col min="5" max="5" width="14.83203125" bestFit="1" customWidth="1"/>
    <col min="6" max="6" width="16.83203125" bestFit="1" customWidth="1"/>
  </cols>
  <sheetData>
    <row r="1" spans="1:6" x14ac:dyDescent="0.2">
      <c r="A1" s="3" t="s">
        <v>8</v>
      </c>
      <c r="B1" s="3" t="s">
        <v>25</v>
      </c>
      <c r="C1" s="3" t="s">
        <v>24</v>
      </c>
      <c r="E1" s="3" t="s">
        <v>90</v>
      </c>
      <c r="F1" s="3" t="s">
        <v>91</v>
      </c>
    </row>
    <row r="2" spans="1:6" x14ac:dyDescent="0.2">
      <c r="A2" t="s">
        <v>10</v>
      </c>
      <c r="B2" t="s">
        <v>23</v>
      </c>
      <c r="C2">
        <v>3667</v>
      </c>
      <c r="E2">
        <f>SUM(C2)</f>
        <v>3667</v>
      </c>
      <c r="F2" s="8">
        <f>E2/SUM(E$2:E$11)</f>
        <v>4.323629632249773E-2</v>
      </c>
    </row>
    <row r="3" spans="1:6" x14ac:dyDescent="0.2">
      <c r="F3" s="8"/>
    </row>
    <row r="4" spans="1:6" x14ac:dyDescent="0.2">
      <c r="A4" t="s">
        <v>9</v>
      </c>
      <c r="B4" t="s">
        <v>13</v>
      </c>
      <c r="C4">
        <v>9967</v>
      </c>
      <c r="E4">
        <f>SUM(C4:C9)</f>
        <v>63705</v>
      </c>
      <c r="F4" s="8">
        <f>E4/SUM(E$2:E$11)</f>
        <v>0.75112305896501719</v>
      </c>
    </row>
    <row r="5" spans="1:6" x14ac:dyDescent="0.2">
      <c r="B5" t="s">
        <v>11</v>
      </c>
      <c r="C5">
        <v>11034</v>
      </c>
    </row>
    <row r="6" spans="1:6" ht="20" x14ac:dyDescent="0.2">
      <c r="A6" s="1" t="s">
        <v>12</v>
      </c>
      <c r="B6" t="s">
        <v>14</v>
      </c>
      <c r="C6">
        <v>10981</v>
      </c>
    </row>
    <row r="7" spans="1:6" ht="20" x14ac:dyDescent="0.2">
      <c r="A7" s="1" t="s">
        <v>12</v>
      </c>
      <c r="B7" t="s">
        <v>15</v>
      </c>
      <c r="C7">
        <v>10294</v>
      </c>
      <c r="F7" s="8"/>
    </row>
    <row r="8" spans="1:6" ht="20" x14ac:dyDescent="0.2">
      <c r="A8" s="1" t="s">
        <v>12</v>
      </c>
      <c r="B8" t="s">
        <v>16</v>
      </c>
      <c r="C8">
        <v>10889</v>
      </c>
      <c r="F8" s="8"/>
    </row>
    <row r="9" spans="1:6" ht="20" x14ac:dyDescent="0.2">
      <c r="A9" s="1" t="s">
        <v>12</v>
      </c>
      <c r="B9" t="s">
        <v>17</v>
      </c>
      <c r="C9">
        <v>10540</v>
      </c>
      <c r="F9" s="8"/>
    </row>
    <row r="10" spans="1:6" x14ac:dyDescent="0.2">
      <c r="F10" s="8"/>
    </row>
    <row r="11" spans="1:6" x14ac:dyDescent="0.2">
      <c r="A11" s="2" t="s">
        <v>18</v>
      </c>
      <c r="B11" t="s">
        <v>19</v>
      </c>
      <c r="C11">
        <v>2321</v>
      </c>
      <c r="E11">
        <f>SUM(C11:C14)</f>
        <v>17441</v>
      </c>
      <c r="F11" s="8">
        <f>E11/SUM(E$2:E$11)</f>
        <v>0.20564064471248511</v>
      </c>
    </row>
    <row r="12" spans="1:6" ht="20" x14ac:dyDescent="0.2">
      <c r="A12" s="1" t="s">
        <v>12</v>
      </c>
      <c r="B12" t="s">
        <v>20</v>
      </c>
      <c r="C12">
        <v>6023</v>
      </c>
      <c r="F12" s="8"/>
    </row>
    <row r="13" spans="1:6" ht="20" x14ac:dyDescent="0.2">
      <c r="A13" s="1"/>
      <c r="B13" t="s">
        <v>21</v>
      </c>
      <c r="C13">
        <v>5814</v>
      </c>
      <c r="F13" s="8"/>
    </row>
    <row r="14" spans="1:6" ht="20" x14ac:dyDescent="0.2">
      <c r="A14" s="1"/>
      <c r="B14" t="s">
        <v>22</v>
      </c>
      <c r="C14">
        <v>3283</v>
      </c>
      <c r="F14" s="8"/>
    </row>
    <row r="15" spans="1:6" x14ac:dyDescent="0.2">
      <c r="F15" s="8"/>
    </row>
    <row r="16" spans="1:6" x14ac:dyDescent="0.2">
      <c r="B16" s="3" t="s">
        <v>26</v>
      </c>
      <c r="C16" s="3" t="s">
        <v>27</v>
      </c>
      <c r="D16" s="3" t="s">
        <v>54</v>
      </c>
      <c r="F16" s="8"/>
    </row>
    <row r="17" spans="2:6" x14ac:dyDescent="0.2">
      <c r="B17" s="7">
        <v>11</v>
      </c>
      <c r="C17" s="7">
        <f>SUM(C2:C14)</f>
        <v>84813</v>
      </c>
      <c r="D17">
        <v>3</v>
      </c>
      <c r="F17" s="8"/>
    </row>
    <row r="18" spans="2:6" x14ac:dyDescent="0.2">
      <c r="B18" s="7"/>
      <c r="C18" s="7"/>
      <c r="F18" s="8"/>
    </row>
    <row r="19" spans="2:6" x14ac:dyDescent="0.2">
      <c r="B19" s="7"/>
      <c r="C19" s="6"/>
      <c r="F19" s="8"/>
    </row>
    <row r="20" spans="2:6" x14ac:dyDescent="0.2">
      <c r="B20" s="7" t="s">
        <v>88</v>
      </c>
      <c r="C20" s="6">
        <v>10761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Human Pancreas</vt:lpstr>
      <vt:lpstr>Lung</vt:lpstr>
      <vt:lpstr>Immune cells</vt:lpstr>
      <vt:lpstr>Mouse Brain</vt:lpstr>
      <vt:lpstr>ATAC_small_genes</vt:lpstr>
      <vt:lpstr>ATAC_large_genes</vt:lpstr>
      <vt:lpstr>ATAC_small_peaks</vt:lpstr>
      <vt:lpstr>ATAC_large_peaks</vt:lpstr>
      <vt:lpstr>ATAC_small_windows</vt:lpstr>
      <vt:lpstr>ATAC_large_windows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Lücken</dc:creator>
  <cp:lastModifiedBy>Lücken, Malte</cp:lastModifiedBy>
  <dcterms:created xsi:type="dcterms:W3CDTF">2019-11-14T07:41:11Z</dcterms:created>
  <dcterms:modified xsi:type="dcterms:W3CDTF">2020-12-16T15:31:58Z</dcterms:modified>
</cp:coreProperties>
</file>