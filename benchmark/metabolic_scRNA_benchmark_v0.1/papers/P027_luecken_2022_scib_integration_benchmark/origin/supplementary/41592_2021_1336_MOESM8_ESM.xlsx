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2"/>
  <workbookPr/>
  <mc:AlternateContent xmlns:mc="http://schemas.openxmlformats.org/markup-compatibility/2006">
    <mc:Choice Requires="x15">
      <x15ac:absPath xmlns:x15ac="http://schemas.microsoft.com/office/spreadsheetml/2010/11/ac" url="/Users/malte.luecken/helmholtz_munich/benchmarking_data_integration/Paper/202107_Editorial_comments/Supplementary Data/"/>
    </mc:Choice>
  </mc:AlternateContent>
  <xr:revisionPtr revIDLastSave="0" documentId="13_ncr:1_{D590EED0-721E-3F45-8836-BBCDE4EA54FD}" xr6:coauthVersionLast="36" xr6:coauthVersionMax="36" xr10:uidLastSave="{00000000-0000-0000-0000-000000000000}"/>
  <bookViews>
    <workbookView xWindow="520" yWindow="580" windowWidth="24540" windowHeight="13680" activeTab="1" xr2:uid="{00000000-000D-0000-FFFF-FFFF00000000}"/>
  </bookViews>
  <sheets>
    <sheet name="usability" sheetId="2" r:id="rId1"/>
    <sheet name="references" sheetId="3" r:id="rId2"/>
  </sheets>
  <calcPr calcId="181029"/>
</workbook>
</file>

<file path=xl/calcChain.xml><?xml version="1.0" encoding="utf-8"?>
<calcChain xmlns="http://schemas.openxmlformats.org/spreadsheetml/2006/main">
  <c r="C8" i="3" l="1"/>
  <c r="B9" i="2"/>
  <c r="B8" i="2"/>
  <c r="B7" i="2"/>
  <c r="B6" i="2"/>
  <c r="B5" i="2"/>
  <c r="B4" i="2"/>
  <c r="B3" i="2"/>
</calcChain>
</file>

<file path=xl/sharedStrings.xml><?xml version="1.0" encoding="utf-8"?>
<sst xmlns="http://schemas.openxmlformats.org/spreadsheetml/2006/main" count="167" uniqueCount="105">
  <si>
    <t>Methods</t>
  </si>
  <si>
    <t>References usability scores</t>
  </si>
  <si>
    <t>Github</t>
  </si>
  <si>
    <t>Open Source</t>
  </si>
  <si>
    <t>Version control</t>
  </si>
  <si>
    <t>Unit testing</t>
  </si>
  <si>
    <t>Tutorial</t>
  </si>
  <si>
    <t>Function documentation</t>
  </si>
  <si>
    <t>Peer review</t>
  </si>
  <si>
    <t>Evaluation of accuracy</t>
  </si>
  <si>
    <t>Evaluation of robustness</t>
  </si>
  <si>
    <t>BBKNN</t>
  </si>
  <si>
    <t>Benchmarking</t>
  </si>
  <si>
    <t>Method's code is freely available</t>
  </si>
  <si>
    <t>CONOS</t>
  </si>
  <si>
    <t>Harmony</t>
  </si>
  <si>
    <t>LIGER</t>
  </si>
  <si>
    <t>MNN</t>
  </si>
  <si>
    <t>Scanorama</t>
  </si>
  <si>
    <t>scVI</t>
  </si>
  <si>
    <t>Seurat v3</t>
  </si>
  <si>
    <t>The code can be run on a freely available platform</t>
  </si>
  <si>
    <t>TrVAE</t>
  </si>
  <si>
    <t>ComBat</t>
  </si>
  <si>
    <t>A tutorial or vignette is available</t>
  </si>
  <si>
    <t>The code is available on a public version controlled repository, such as Github</t>
  </si>
  <si>
    <t>Method is tested using unit tests</t>
  </si>
  <si>
    <t>Following the tutorial step by step leads to no issues/errors</t>
  </si>
  <si>
    <t>https://nbviewer.jupyter.org/github/Teichlab/bbknn/blob/master/examples/pancreas.ipynb</t>
  </si>
  <si>
    <t>The tutorial shows the method's usefulness on several (&gt;2 = 1), 2 (0.5), 1 (0.25) or no different scenarios.</t>
  </si>
  <si>
    <t>The tutorial shows how to run the method in a non-native language (i.e. R to Python or viceversa)</t>
  </si>
  <si>
    <t>The purpose and usage of functions/commands is documented</t>
  </si>
  <si>
    <t>The parameters of functions/commands are documented</t>
  </si>
  <si>
    <t>The output of functions/commands is documented</t>
  </si>
  <si>
    <t>The paper is published in a peer-reviewed journal</t>
  </si>
  <si>
    <t>The paper shows the method's usefulness on several (&gt;2 = 1), two (0.5), one (0.25) or no real datasets.</t>
  </si>
  <si>
    <t>The paper quantifies the accuracy of the method given a simulated dataset</t>
  </si>
  <si>
    <t>The paper assessed method robustness (to eg.noise, feature selection, down-sampling, parameter changes,stability) in one (0.25) , two (0.5), or several (&gt;2 = 1) ways</t>
  </si>
  <si>
    <t>The paper compares the performances of the method against other published methods</t>
  </si>
  <si>
    <t>https://github.com/hms-dbmi/conos/blob/master/vignettes/walkthrough.md</t>
  </si>
  <si>
    <t>https://github.com/immunogenomics/harmony/blob/master/vignettes/quickstart.Rmd</t>
  </si>
  <si>
    <t>http://htmlpreview.github.io/?https://github.com/MacoskoLab/liger/blob/master/vignettes/liger-vignette.html</t>
  </si>
  <si>
    <t>https://rdrr.io/bioc/batchelor/f/vignettes/correction.Rmd</t>
  </si>
  <si>
    <t>https://github.com/brianhie/scanorama</t>
  </si>
  <si>
    <t>https://nbviewer.jupyter.org/github/YosefLab/scVI/blob/master/tests/notebooks/basic_tutorial.ipynb</t>
  </si>
  <si>
    <t>https://satijalab.org/seurat/vignettes.html</t>
  </si>
  <si>
    <t>https://github.com/theislab/trvaep/blob/master/example/sample_notebook.ipynb
https://github.com/theislab/trvaep/blob/master/example/multi_condition_sample.ipynb</t>
  </si>
  <si>
    <t>https://bioconductor.org/packages/release/bioc/vignettes/sva/inst/doc/sva.pdf</t>
  </si>
  <si>
    <t>error in sc.tl.louvain</t>
  </si>
  <si>
    <t>in suggestK, return.results is not a valid parameter</t>
  </si>
  <si>
    <r>
      <t xml:space="preserve">The tutorial shows the method's usefulness on several (&gt;2 = </t>
    </r>
    <r>
      <rPr>
        <b/>
        <sz val="11"/>
        <color rgb="FF93C47D"/>
        <rFont val="Arial"/>
        <family val="2"/>
      </rPr>
      <t>1</t>
    </r>
    <r>
      <rPr>
        <sz val="10"/>
        <color rgb="FF000000"/>
        <rFont val="Arial"/>
        <family val="2"/>
      </rPr>
      <t>), 2 (</t>
    </r>
    <r>
      <rPr>
        <b/>
        <sz val="11"/>
        <color rgb="FFFFD966"/>
        <rFont val="Arial"/>
        <family val="2"/>
      </rPr>
      <t>0.5</t>
    </r>
    <r>
      <rPr>
        <sz val="10"/>
        <color rgb="FF000000"/>
        <rFont val="Arial"/>
        <family val="2"/>
      </rPr>
      <t>), 1 (</t>
    </r>
    <r>
      <rPr>
        <b/>
        <sz val="11"/>
        <color rgb="FFF6B26B"/>
        <rFont val="Arial"/>
        <family val="2"/>
      </rPr>
      <t>0.25</t>
    </r>
    <r>
      <rPr>
        <sz val="10"/>
        <color rgb="FF000000"/>
        <rFont val="Arial"/>
        <family val="2"/>
      </rPr>
      <t xml:space="preserve">) or </t>
    </r>
    <r>
      <rPr>
        <b/>
        <sz val="10"/>
        <color rgb="FFCC0000"/>
        <rFont val="Arial"/>
        <family val="2"/>
      </rPr>
      <t>no</t>
    </r>
    <r>
      <rPr>
        <sz val="10"/>
        <color rgb="FF000000"/>
        <rFont val="Arial"/>
        <family val="2"/>
      </rPr>
      <t xml:space="preserve"> different scenarios.</t>
    </r>
  </si>
  <si>
    <t>https://nbviewer.jupyter.org/github/Teichlab/bbknn/blob/master/examples/mouse.ipynb
https://nbviewer.jupyter.org/github/Teichlab/bbknn/blob/master/examples/pbmc.ipynb
https://nbviewer.jupyter.org/github/Teichlab/bbknn/blob/master/examples/pancreas.ipynb</t>
  </si>
  <si>
    <t>https://github.com/hms-dbmi/conos/blob/master/vignettes/adjust_alignment_strength.md
http://pklab.med.harvard.edu/peterk/conos/atac_rna/example.html
https://github.com/hms-dbmi/conos/blob/master/vignettes/walkthrough.md</t>
  </si>
  <si>
    <t>https://github.com/immunogenomics/harmony/blob/master/vignettes/quickstart.Rmd
http://htmlpreview.github.io/?https://github.com/immunogenomics/harmony/blob/master/docs/SeuratV2.html
http://htmlpreview.github.io/?https://github.com/immunogenomics/harmony/blob/master/docs/SeuratV3.html
http://htmlpreview.github.io/?https://github.com/immunogenomics/harmony/blob/master/docs/mudan.html
http://htmlpreview.github.io/?https://github.com/immunogenomics/harmony/blob/master/docs/advanced.html</t>
  </si>
  <si>
    <t>http://htmlpreview.github.io/?https://github.com/MacoskoLab/liger/blob/master/vignettes/liger-vignette.html
https://macoskolab.github.io/liger/walkthrough_pbmc.html
https://macoskolab.github.io/liger/walkthrough_rna_atac.html
https://macoskolab.github.io/liger/rna-methylation.html
https://htmlpreview.github.io/?https://github.com/satijalab/seurat.wrappers/blob/master/docs/liger.html</t>
  </si>
  <si>
    <t>https://nbviewer.jupyter.org/github/YosefLab/scVI/blob/master/tests/notebooks/basic_tutorial.ipynb
https://nbviewer.jupyter.org/github/YosefLab/scVI/blob/master/tests/notebooks/harmonization.ipynb</t>
  </si>
  <si>
    <t>https://satijalab.org/seurat/v3.1/integration.html
https://satijalab.org/seurat/v3.1/immune_alignment.html
https://satijalab.org/seurat/v3.1/atacseq_integration_vignette.html</t>
  </si>
  <si>
    <t>https://github.com/hms-dbmi/conos/blob/master/vignettes/scanpy_integration.md
https://github.com/hms-dbmi/conos/blob/master/vignettes/scanpy_integration.ipynb</t>
  </si>
  <si>
    <t>R implementation: https://rdrr.io/bioc/batchelor/
Python implementation: https://github.com/chriscainx/mnnpy</t>
  </si>
  <si>
    <t>https://bbknn.readthedocs.io/en/latest/</t>
  </si>
  <si>
    <t>R's help feature</t>
  </si>
  <si>
    <t>https://rdrr.io/bioc/batchelor/man/mnnCorrect.html</t>
  </si>
  <si>
    <t>https://github.com/brianhie/scanorama/blob/master/scanorama/scanorama.py</t>
  </si>
  <si>
    <t>https://scvi.readthedocs.io/en/stable/</t>
  </si>
  <si>
    <t>https://github.com/satijalab/seurat</t>
  </si>
  <si>
    <t>https://github.com/theislab/trvaep</t>
  </si>
  <si>
    <t>https://github.com/jtleek/sva</t>
  </si>
  <si>
    <t>https://www.ncbi.nlm.nih.gov/pubmed/31400197</t>
  </si>
  <si>
    <t>https://www.nature.com/articles/s41592-019-0466-z</t>
  </si>
  <si>
    <t>https://www.nature.com/articles/s41592-019-0619-0</t>
  </si>
  <si>
    <t>https://www.ncbi.nlm.nih.gov/pubmed/31178122</t>
  </si>
  <si>
    <t>https://www.ncbi.nlm.nih.gov/pmc/articles/PMC6152897/</t>
  </si>
  <si>
    <t>https://www.nature.com/articles/s41587-019-0113-3</t>
  </si>
  <si>
    <t>https://www.nature.com/articles/s41592-018-0229-2</t>
  </si>
  <si>
    <t>https://www.cell.com/cell/fulltext/S0092-8674(19)30559-8</t>
  </si>
  <si>
    <t>https://arxiv.org/abs/1910.01791</t>
  </si>
  <si>
    <t>https://academic.oup.com/bioinformatics/article/28/6/882/311263</t>
  </si>
  <si>
    <r>
      <t xml:space="preserve">The paper shows the method's usefulness on several (&gt;2 = </t>
    </r>
    <r>
      <rPr>
        <b/>
        <sz val="11"/>
        <color rgb="FF93C47D"/>
        <rFont val="Arial"/>
        <family val="2"/>
      </rPr>
      <t>1</t>
    </r>
    <r>
      <rPr>
        <sz val="10"/>
        <color rgb="FF000000"/>
        <rFont val="Arial"/>
        <family val="2"/>
      </rPr>
      <t>), two (</t>
    </r>
    <r>
      <rPr>
        <b/>
        <sz val="11"/>
        <color rgb="FFFFD966"/>
        <rFont val="Arial"/>
        <family val="2"/>
      </rPr>
      <t>0.5</t>
    </r>
    <r>
      <rPr>
        <sz val="10"/>
        <color rgb="FF000000"/>
        <rFont val="Arial"/>
        <family val="2"/>
      </rPr>
      <t>), one (</t>
    </r>
    <r>
      <rPr>
        <b/>
        <sz val="11"/>
        <color rgb="FFF6B26B"/>
        <rFont val="Arial"/>
        <family val="2"/>
      </rPr>
      <t>0.25</t>
    </r>
    <r>
      <rPr>
        <sz val="10"/>
        <color rgb="FF000000"/>
        <rFont val="Arial"/>
        <family val="2"/>
      </rPr>
      <t xml:space="preserve">) or </t>
    </r>
    <r>
      <rPr>
        <b/>
        <sz val="10"/>
        <color rgb="FFCC0000"/>
        <rFont val="Arial"/>
        <family val="2"/>
      </rPr>
      <t>no</t>
    </r>
    <r>
      <rPr>
        <sz val="10"/>
        <color rgb="FF000000"/>
        <rFont val="Arial"/>
        <family val="2"/>
      </rPr>
      <t xml:space="preserve"> real datasets.</t>
    </r>
  </si>
  <si>
    <t>Pancreas, Mouse Atlas</t>
  </si>
  <si>
    <t>Bone marrow and cord blood, Azizi et al. breast cancer, mouse atlases, Puram et al., Guo et al., Lambrechts et al., human cortex</t>
  </si>
  <si>
    <t>HCA datasets, human PBMCs, pancreatic islet cells, MERFISH data</t>
  </si>
  <si>
    <t>PBMC, Human/Mouse Pancreas, Interneurons/oligodendrocytes, BNST nuclei + cortical interneurons, BNST + SPN, substantia nigra, frontal cortex</t>
  </si>
  <si>
    <t xml:space="preserve">Hematopoietic data, Pancreas data, Human PBMCs </t>
  </si>
  <si>
    <t>26 datasets, pancreatic islet cells, PBMCs, mouse CNS</t>
  </si>
  <si>
    <t>Retina</t>
  </si>
  <si>
    <t>Pancreatic islet cells, PBMCs scRNA-seq and scATAC-seq, HCA bone marrow, mouse visual cortex scRNA-seq and STARmap datasets, Tabula Muris</t>
  </si>
  <si>
    <t>Lupus PBMCs, gut</t>
  </si>
  <si>
    <t>dataset1 (human lung fibroblast cells), dataset2 (inhibition TAl1 oncogene)</t>
  </si>
  <si>
    <t>Paper's Supplementary Material</t>
  </si>
  <si>
    <t>Paper's Methods (Benchmark design)</t>
  </si>
  <si>
    <t>Paper's Fig. 2</t>
  </si>
  <si>
    <t>Paper's Methods</t>
  </si>
  <si>
    <r>
      <t>The paper assessed method robustness (to eg.noise, feature selection, down-sampling, parameter changes,stability) in one (</t>
    </r>
    <r>
      <rPr>
        <b/>
        <sz val="11"/>
        <color rgb="FFE69138"/>
        <rFont val="Arial"/>
        <family val="2"/>
      </rPr>
      <t>0.25</t>
    </r>
    <r>
      <rPr>
        <sz val="10"/>
        <color rgb="FF000000"/>
        <rFont val="Arial"/>
        <family val="2"/>
      </rPr>
      <t>) , two (</t>
    </r>
    <r>
      <rPr>
        <b/>
        <sz val="11"/>
        <color rgb="FFFFD966"/>
        <rFont val="Arial"/>
        <family val="2"/>
      </rPr>
      <t>0.5</t>
    </r>
    <r>
      <rPr>
        <sz val="10"/>
        <color rgb="FF000000"/>
        <rFont val="Arial"/>
        <family val="2"/>
      </rPr>
      <t xml:space="preserve">), or several (&gt;2 = </t>
    </r>
    <r>
      <rPr>
        <b/>
        <sz val="11"/>
        <color rgb="FF6AA84F"/>
        <rFont val="Arial"/>
        <family val="2"/>
      </rPr>
      <t>1</t>
    </r>
    <r>
      <rPr>
        <sz val="10"/>
        <color rgb="FF000000"/>
        <rFont val="Arial"/>
        <family val="2"/>
      </rPr>
      <t>) ways</t>
    </r>
  </si>
  <si>
    <t>Trimming on simulated data (Suppl Fig. 3), trimming on Pancreatic data (Suppl Fig. 4), down-sampling on Murine Atlas (Suppl. Fig 6)</t>
  </si>
  <si>
    <t xml:space="preserve">Detection of subpopulation with increased heterogeneity (Fig.1), sensitivity to individual cells (Suppl Fig. 1f), increase of alignment strength (Suppl. Fig.9), graph embedding on CPCA (Suppl Fig. 11) or gene (Suppl Fig. 12) space. </t>
  </si>
  <si>
    <t>Pairwise missingness downsampling experiment (Suppl Fig. 8), disparate richness downsampling experiment (Suppl. Fig. 9), Reference mapping experiment (Suppl Fig. 10), Sensitivity analysis of integration quality to theta parameter values (Suppl Fig. 11), Comparison of gene scaling strategies (Suppl Fig. 19)</t>
  </si>
  <si>
    <t>Different proportions of cell types included (Fig. 2G-H)</t>
  </si>
  <si>
    <t>Subsampling of genes (Suppl Fig. 4 and 6), Locally varying batch correction versus global (i.e. constant vector) batch correction (Suppl Fig. 7)</t>
  </si>
  <si>
    <t>Silhouette coefficient distributions for 26-dataset integration at different parameters (Suppl Fig. 12), No overlapping cell types (Suppl Fig. 14)</t>
  </si>
  <si>
    <t>Robustness analysis for scVI (Suppl Fig. 1), Stability of the early-stopping criterion on the 1-million-cell sample of the BRAIN-LARGE dataset (Suppl Fig. 2)</t>
  </si>
  <si>
    <t>Cell type holdout (Fig.2 and Supplementary table 1A)</t>
  </si>
  <si>
    <t>Cell-type hold out perturbation experiment (Fig.5), out-of sample prediction (Fig. 6)</t>
  </si>
  <si>
    <t>Supplementary material: robustness of the EB method, adjustments for balanced designs, sample size</t>
  </si>
  <si>
    <t>Paper</t>
  </si>
  <si>
    <t>Usability metric results and explanation for each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</si>
</sst>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0"/>
      <color rgb="FF000000"/>
      <name val="Arial"/>
    </font>
    <font>
      <b/>
      <sz val="12"/>
      <color rgb="FF000000"/>
      <name val="Calibri"/>
      <family val="2"/>
    </font>
    <font>
      <b/>
      <sz val="12"/>
      <color theme="1"/>
      <name val="Arial"/>
      <family val="2"/>
    </font>
    <font>
      <sz val="10"/>
      <color theme="1"/>
      <name val="Arial"/>
      <family val="2"/>
    </font>
    <font>
      <sz val="11"/>
      <color rgb="FF000000"/>
      <name val="Calibri"/>
      <family val="2"/>
    </font>
    <font>
      <b/>
      <sz val="11"/>
      <color rgb="FF000000"/>
      <name val="Calibri"/>
      <family val="2"/>
    </font>
    <font>
      <sz val="10"/>
      <color rgb="FF000000"/>
      <name val="Arial"/>
      <family val="2"/>
    </font>
    <font>
      <u/>
      <sz val="10"/>
      <color rgb="FF0000FF"/>
      <name val="Arial"/>
      <family val="2"/>
    </font>
    <font>
      <u/>
      <sz val="10"/>
      <color rgb="FF0000FF"/>
      <name val="Arial"/>
      <family val="2"/>
    </font>
    <font>
      <u/>
      <sz val="10"/>
      <color rgb="FF0000FF"/>
      <name val="Arial"/>
      <family val="2"/>
    </font>
    <font>
      <u/>
      <sz val="10"/>
      <color rgb="FF0000FF"/>
      <name val="Arial"/>
      <family val="2"/>
    </font>
    <font>
      <sz val="10"/>
      <name val="Arial"/>
      <family val="2"/>
    </font>
    <font>
      <u/>
      <sz val="10"/>
      <color rgb="FF0000FF"/>
      <name val="Arial"/>
      <family val="2"/>
    </font>
    <font>
      <u/>
      <sz val="10"/>
      <color rgb="FF0000FF"/>
      <name val="Arial"/>
      <family val="2"/>
    </font>
    <font>
      <u/>
      <sz val="10"/>
      <color rgb="FF0000FF"/>
      <name val="Arial"/>
      <family val="2"/>
    </font>
    <font>
      <u/>
      <sz val="10"/>
      <color rgb="FF0000FF"/>
      <name val="Arial"/>
      <family val="2"/>
    </font>
    <font>
      <u/>
      <sz val="10"/>
      <color rgb="FF0000FF"/>
      <name val="Arial"/>
      <family val="2"/>
    </font>
    <font>
      <b/>
      <sz val="11"/>
      <color rgb="FF93C47D"/>
      <name val="Arial"/>
      <family val="2"/>
    </font>
    <font>
      <b/>
      <sz val="11"/>
      <color rgb="FFFFD966"/>
      <name val="Arial"/>
      <family val="2"/>
    </font>
    <font>
      <b/>
      <sz val="11"/>
      <color rgb="FFF6B26B"/>
      <name val="Arial"/>
      <family val="2"/>
    </font>
    <font>
      <b/>
      <sz val="10"/>
      <color rgb="FFCC0000"/>
      <name val="Arial"/>
      <family val="2"/>
    </font>
    <font>
      <b/>
      <sz val="11"/>
      <color rgb="FFE69138"/>
      <name val="Arial"/>
      <family val="2"/>
    </font>
    <font>
      <b/>
      <sz val="11"/>
      <color rgb="FF6AA84F"/>
      <name val="Arial"/>
      <family val="2"/>
    </font>
  </fonts>
  <fills count="6">
    <fill>
      <patternFill patternType="none"/>
    </fill>
    <fill>
      <patternFill patternType="gray125"/>
    </fill>
    <fill>
      <patternFill patternType="solid">
        <fgColor rgb="FFD9EAD3"/>
        <bgColor rgb="FFD9EAD3"/>
      </patternFill>
    </fill>
    <fill>
      <patternFill patternType="solid">
        <fgColor rgb="FFFFF2CC"/>
        <bgColor rgb="FFFFF2CC"/>
      </patternFill>
    </fill>
    <fill>
      <patternFill patternType="solid">
        <fgColor rgb="FFF4CCCC"/>
        <bgColor rgb="FFF4CCCC"/>
      </patternFill>
    </fill>
    <fill>
      <patternFill patternType="solid">
        <fgColor rgb="FFFCE5CD"/>
        <bgColor rgb="FFFCE5CD"/>
      </patternFill>
    </fill>
  </fills>
  <borders count="2">
    <border>
      <left/>
      <right/>
      <top/>
      <bottom/>
      <diagonal/>
    </border>
    <border>
      <left style="medium">
        <color rgb="FF58635B"/>
      </left>
      <right style="medium">
        <color rgb="FF58635B"/>
      </right>
      <top style="medium">
        <color rgb="FF58635B"/>
      </top>
      <bottom style="medium">
        <color rgb="FF58635B"/>
      </bottom>
      <diagonal/>
    </border>
  </borders>
  <cellStyleXfs count="1">
    <xf numFmtId="0" fontId="0" fillId="0" borderId="0"/>
  </cellStyleXfs>
  <cellXfs count="60">
    <xf numFmtId="0" fontId="0" fillId="0" borderId="0" xfId="0" applyFont="1" applyAlignment="1"/>
    <xf numFmtId="0" fontId="1" fillId="0" borderId="0" xfId="0" applyFont="1" applyAlignment="1">
      <alignment horizontal="center"/>
    </xf>
    <xf numFmtId="0" fontId="2" fillId="0" borderId="0" xfId="0" applyFont="1" applyAlignment="1"/>
    <xf numFmtId="0" fontId="1" fillId="0" borderId="0" xfId="0" applyFont="1" applyAlignment="1"/>
    <xf numFmtId="0" fontId="1" fillId="0" borderId="0" xfId="0" applyFont="1" applyAlignment="1">
      <alignment horizontal="left" vertical="center" wrapText="1"/>
    </xf>
    <xf numFmtId="0" fontId="4" fillId="0" borderId="0" xfId="0" applyFont="1" applyAlignment="1"/>
    <xf numFmtId="0" fontId="5" fillId="0" borderId="0" xfId="0" applyFont="1" applyAlignment="1"/>
    <xf numFmtId="0" fontId="3" fillId="0" borderId="0" xfId="0" applyFont="1" applyAlignment="1">
      <alignment horizontal="left" wrapText="1"/>
    </xf>
    <xf numFmtId="0" fontId="4" fillId="0" borderId="0" xfId="0" applyFont="1" applyAlignment="1">
      <alignment horizontal="right"/>
    </xf>
    <xf numFmtId="0" fontId="3" fillId="0" borderId="0" xfId="0" applyFont="1" applyAlignment="1">
      <alignment horizontal="left" wrapText="1"/>
    </xf>
    <xf numFmtId="0" fontId="3" fillId="0" borderId="0" xfId="0" applyFont="1" applyAlignment="1">
      <alignment horizontal="left" vertical="center" wrapText="1"/>
    </xf>
    <xf numFmtId="0" fontId="6" fillId="0" borderId="0" xfId="0" applyFont="1" applyAlignment="1">
      <alignment horizontal="left" wrapText="1"/>
    </xf>
    <xf numFmtId="0" fontId="3" fillId="0" borderId="0" xfId="0" applyFont="1" applyAlignment="1">
      <alignment horizontal="left" wrapText="1"/>
    </xf>
    <xf numFmtId="0" fontId="4" fillId="0" borderId="0" xfId="0" applyFont="1" applyAlignment="1"/>
    <xf numFmtId="0" fontId="7" fillId="2" borderId="0" xfId="0" applyFont="1" applyFill="1" applyAlignment="1">
      <alignment vertical="center"/>
    </xf>
    <xf numFmtId="0" fontId="8" fillId="0" borderId="0" xfId="0" applyFont="1" applyAlignment="1"/>
    <xf numFmtId="0" fontId="4" fillId="0" borderId="0" xfId="0" applyFont="1" applyAlignment="1"/>
    <xf numFmtId="0" fontId="9" fillId="2" borderId="0" xfId="0" applyFont="1" applyFill="1" applyAlignment="1">
      <alignment vertical="center"/>
    </xf>
    <xf numFmtId="0" fontId="3" fillId="0" borderId="0" xfId="0" applyFont="1"/>
    <xf numFmtId="0" fontId="10" fillId="3" borderId="0" xfId="0" applyFont="1" applyFill="1" applyAlignment="1">
      <alignment vertical="center"/>
    </xf>
    <xf numFmtId="0" fontId="11" fillId="2" borderId="0" xfId="0" applyFont="1" applyFill="1" applyAlignment="1">
      <alignment vertical="center"/>
    </xf>
    <xf numFmtId="0" fontId="6" fillId="0" borderId="0" xfId="0" applyFont="1" applyAlignment="1">
      <alignment horizontal="left" vertical="center" wrapText="1"/>
    </xf>
    <xf numFmtId="0" fontId="3" fillId="2" borderId="0" xfId="0" applyFont="1" applyFill="1" applyAlignment="1">
      <alignment horizontal="left" vertical="center"/>
    </xf>
    <xf numFmtId="0" fontId="3" fillId="2" borderId="0" xfId="0" applyFont="1" applyFill="1" applyAlignment="1">
      <alignment vertical="center"/>
    </xf>
    <xf numFmtId="0" fontId="3" fillId="2" borderId="0" xfId="0" applyFont="1" applyFill="1" applyAlignment="1">
      <alignment vertical="center"/>
    </xf>
    <xf numFmtId="0" fontId="3" fillId="2" borderId="0" xfId="0" applyFont="1" applyFill="1" applyAlignment="1">
      <alignment vertical="center" wrapText="1"/>
    </xf>
    <xf numFmtId="0" fontId="3" fillId="4" borderId="0" xfId="0" applyFont="1" applyFill="1" applyAlignment="1">
      <alignment horizontal="left" vertical="center"/>
    </xf>
    <xf numFmtId="0" fontId="11" fillId="2" borderId="0" xfId="0" applyFont="1" applyFill="1" applyAlignment="1">
      <alignment vertical="center"/>
    </xf>
    <xf numFmtId="0" fontId="3" fillId="0" borderId="0" xfId="0" applyFont="1" applyAlignment="1">
      <alignment horizontal="left" vertical="center" wrapText="1"/>
    </xf>
    <xf numFmtId="0" fontId="3" fillId="0" borderId="0" xfId="0" applyFont="1" applyAlignment="1"/>
    <xf numFmtId="0" fontId="3" fillId="2" borderId="0" xfId="0" applyFont="1" applyFill="1" applyAlignment="1">
      <alignment vertical="center"/>
    </xf>
    <xf numFmtId="0" fontId="12" fillId="5" borderId="0" xfId="0" applyFont="1" applyFill="1" applyAlignment="1">
      <alignment vertical="center"/>
    </xf>
    <xf numFmtId="0" fontId="13" fillId="4" borderId="0" xfId="0" applyFont="1" applyFill="1" applyAlignment="1">
      <alignment vertical="center"/>
    </xf>
    <xf numFmtId="0" fontId="3" fillId="3" borderId="0" xfId="0" applyFont="1" applyFill="1" applyAlignment="1">
      <alignment vertical="center"/>
    </xf>
    <xf numFmtId="0" fontId="11" fillId="3" borderId="0" xfId="0" applyFont="1" applyFill="1" applyAlignment="1">
      <alignment vertical="center"/>
    </xf>
    <xf numFmtId="0" fontId="14" fillId="5" borderId="0" xfId="0" applyFont="1" applyFill="1" applyAlignment="1">
      <alignment vertical="center"/>
    </xf>
    <xf numFmtId="0" fontId="15" fillId="2" borderId="0" xfId="0" applyFont="1" applyFill="1" applyAlignment="1">
      <alignment horizontal="left" vertical="center"/>
    </xf>
    <xf numFmtId="0" fontId="11" fillId="4" borderId="0" xfId="0" applyFont="1" applyFill="1" applyAlignment="1">
      <alignment horizontal="left" vertical="center"/>
    </xf>
    <xf numFmtId="0" fontId="3" fillId="4" borderId="0" xfId="0" applyFont="1" applyFill="1" applyAlignment="1">
      <alignment horizontal="left" vertical="center"/>
    </xf>
    <xf numFmtId="0" fontId="1" fillId="0" borderId="0" xfId="0" applyFont="1" applyAlignment="1">
      <alignment vertical="center" wrapText="1"/>
    </xf>
    <xf numFmtId="0" fontId="16" fillId="0" borderId="0" xfId="0" applyFont="1" applyAlignment="1"/>
    <xf numFmtId="0" fontId="11" fillId="0" borderId="0" xfId="0" applyFont="1" applyAlignment="1"/>
    <xf numFmtId="0" fontId="11" fillId="0" borderId="0" xfId="0" applyFont="1" applyAlignment="1"/>
    <xf numFmtId="2" fontId="11" fillId="0" borderId="0" xfId="0" applyNumberFormat="1" applyFont="1" applyAlignment="1"/>
    <xf numFmtId="0" fontId="3" fillId="0" borderId="0" xfId="0" applyFont="1" applyAlignment="1"/>
    <xf numFmtId="0" fontId="3" fillId="0" borderId="0" xfId="0" applyFont="1" applyAlignment="1">
      <alignment horizontal="left" vertical="center" wrapText="1"/>
    </xf>
    <xf numFmtId="0" fontId="3" fillId="3" borderId="0" xfId="0" applyFont="1" applyFill="1" applyAlignment="1">
      <alignment vertical="center" wrapText="1"/>
    </xf>
    <xf numFmtId="0" fontId="3" fillId="5" borderId="0" xfId="0" applyFont="1" applyFill="1" applyAlignment="1">
      <alignment vertical="center" wrapText="1"/>
    </xf>
    <xf numFmtId="0" fontId="11" fillId="3" borderId="0" xfId="0" applyFont="1" applyFill="1" applyAlignment="1">
      <alignment vertical="center" wrapText="1"/>
    </xf>
    <xf numFmtId="0" fontId="3" fillId="2" borderId="0" xfId="0" applyFont="1" applyFill="1" applyAlignment="1">
      <alignment vertical="center"/>
    </xf>
    <xf numFmtId="0" fontId="3" fillId="4" borderId="0" xfId="0" applyFont="1" applyFill="1" applyAlignment="1">
      <alignment vertical="center" wrapText="1"/>
    </xf>
    <xf numFmtId="0" fontId="11" fillId="2" borderId="0" xfId="0" applyFont="1" applyFill="1" applyAlignment="1">
      <alignment vertical="center" wrapText="1"/>
    </xf>
    <xf numFmtId="0" fontId="0" fillId="0" borderId="0" xfId="0" applyFont="1" applyAlignment="1"/>
    <xf numFmtId="0" fontId="1" fillId="0" borderId="0" xfId="0" applyFont="1" applyAlignment="1">
      <alignment wrapText="1"/>
    </xf>
    <xf numFmtId="0" fontId="0" fillId="0" borderId="0" xfId="0" applyFont="1" applyAlignment="1"/>
    <xf numFmtId="0" fontId="1" fillId="0" borderId="0" xfId="0" applyFont="1" applyAlignment="1">
      <alignment horizontal="center" wrapText="1"/>
    </xf>
    <xf numFmtId="0" fontId="1" fillId="0" borderId="0" xfId="0" applyFont="1" applyAlignment="1">
      <alignment horizontal="center"/>
    </xf>
    <xf numFmtId="0" fontId="1" fillId="0" borderId="0" xfId="0" applyFont="1" applyAlignment="1">
      <alignment horizontal="left" vertical="center" wrapText="1"/>
    </xf>
    <xf numFmtId="0" fontId="4" fillId="0" borderId="1" xfId="0" applyFont="1" applyBorder="1" applyAlignment="1">
      <alignment vertical="center"/>
    </xf>
    <xf numFmtId="0" fontId="5" fillId="0" borderId="1"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jtleek/sva" TargetMode="External"/><Relationship Id="rId2" Type="http://schemas.openxmlformats.org/officeDocument/2006/relationships/hyperlink" Target="https://github.com/theislab/trvaep" TargetMode="External"/><Relationship Id="rId1" Type="http://schemas.openxmlformats.org/officeDocument/2006/relationships/hyperlink" Target="https://github.com/satijalab/seurat"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github.com/brianhie/scanorama" TargetMode="External"/><Relationship Id="rId18" Type="http://schemas.openxmlformats.org/officeDocument/2006/relationships/hyperlink" Target="https://bbknn.readthedocs.io/en/latest/" TargetMode="External"/><Relationship Id="rId26" Type="http://schemas.openxmlformats.org/officeDocument/2006/relationships/hyperlink" Target="https://www.ncbi.nlm.nih.gov/pubmed/31400197" TargetMode="External"/><Relationship Id="rId3" Type="http://schemas.openxmlformats.org/officeDocument/2006/relationships/hyperlink" Target="https://github.com/immunogenomics/harmony/blob/master/vignettes/quickstart.Rmd" TargetMode="External"/><Relationship Id="rId21" Type="http://schemas.openxmlformats.org/officeDocument/2006/relationships/hyperlink" Target="https://scvi.readthedocs.io/en/stable/" TargetMode="External"/><Relationship Id="rId34" Type="http://schemas.openxmlformats.org/officeDocument/2006/relationships/hyperlink" Target="https://arxiv.org/abs/1910.01791" TargetMode="External"/><Relationship Id="rId7" Type="http://schemas.openxmlformats.org/officeDocument/2006/relationships/hyperlink" Target="https://nbviewer.jupyter.org/github/YosefLab/scVI/blob/master/tests/notebooks/basic_tutorial.ipynb" TargetMode="External"/><Relationship Id="rId12" Type="http://schemas.openxmlformats.org/officeDocument/2006/relationships/hyperlink" Target="https://bioconductor.org/packages/release/bioc/vignettes/sva/inst/doc/sva.pdf" TargetMode="External"/><Relationship Id="rId17" Type="http://schemas.openxmlformats.org/officeDocument/2006/relationships/hyperlink" Target="https://scvi.readthedocs.io/en/stable/" TargetMode="External"/><Relationship Id="rId25" Type="http://schemas.openxmlformats.org/officeDocument/2006/relationships/hyperlink" Target="https://scvi.readthedocs.io/en/stable/" TargetMode="External"/><Relationship Id="rId33" Type="http://schemas.openxmlformats.org/officeDocument/2006/relationships/hyperlink" Target="https://www.cell.com/cell/fulltext/S0092-8674(19)30559-8" TargetMode="External"/><Relationship Id="rId2" Type="http://schemas.openxmlformats.org/officeDocument/2006/relationships/hyperlink" Target="https://github.com/hms-dbmi/conos/blob/master/vignettes/walkthrough.md" TargetMode="External"/><Relationship Id="rId16" Type="http://schemas.openxmlformats.org/officeDocument/2006/relationships/hyperlink" Target="https://github.com/brianhie/scanorama/blob/master/scanorama/scanorama.py" TargetMode="External"/><Relationship Id="rId20" Type="http://schemas.openxmlformats.org/officeDocument/2006/relationships/hyperlink" Target="https://github.com/brianhie/scanorama/blob/master/scanorama/scanorama.py" TargetMode="External"/><Relationship Id="rId29" Type="http://schemas.openxmlformats.org/officeDocument/2006/relationships/hyperlink" Target="https://www.ncbi.nlm.nih.gov/pubmed/31178122" TargetMode="External"/><Relationship Id="rId1" Type="http://schemas.openxmlformats.org/officeDocument/2006/relationships/hyperlink" Target="https://nbviewer.jupyter.org/github/Teichlab/bbknn/blob/master/examples/pancreas.ipynb" TargetMode="External"/><Relationship Id="rId6" Type="http://schemas.openxmlformats.org/officeDocument/2006/relationships/hyperlink" Target="https://github.com/brianhie/scanorama" TargetMode="External"/><Relationship Id="rId11" Type="http://schemas.openxmlformats.org/officeDocument/2006/relationships/hyperlink" Target="https://github.com/brianhie/scanorama" TargetMode="External"/><Relationship Id="rId24" Type="http://schemas.openxmlformats.org/officeDocument/2006/relationships/hyperlink" Target="https://github.com/brianhie/scanorama/blob/master/scanorama/scanorama.py" TargetMode="External"/><Relationship Id="rId32" Type="http://schemas.openxmlformats.org/officeDocument/2006/relationships/hyperlink" Target="https://www.nature.com/articles/s41592-018-0229-2" TargetMode="External"/><Relationship Id="rId5" Type="http://schemas.openxmlformats.org/officeDocument/2006/relationships/hyperlink" Target="https://rdrr.io/bioc/batchelor/f/vignettes/correction.Rmd" TargetMode="External"/><Relationship Id="rId15" Type="http://schemas.openxmlformats.org/officeDocument/2006/relationships/hyperlink" Target="https://rdrr.io/bioc/batchelor/man/mnnCorrect.html" TargetMode="External"/><Relationship Id="rId23" Type="http://schemas.openxmlformats.org/officeDocument/2006/relationships/hyperlink" Target="https://rdrr.io/bioc/batchelor/man/mnnCorrect.html" TargetMode="External"/><Relationship Id="rId28" Type="http://schemas.openxmlformats.org/officeDocument/2006/relationships/hyperlink" Target="https://www.nature.com/articles/s41592-019-0619-0" TargetMode="External"/><Relationship Id="rId10" Type="http://schemas.openxmlformats.org/officeDocument/2006/relationships/hyperlink" Target="https://rdrr.io/bioc/batchelor/f/vignettes/correction.Rmd" TargetMode="External"/><Relationship Id="rId19" Type="http://schemas.openxmlformats.org/officeDocument/2006/relationships/hyperlink" Target="https://rdrr.io/bioc/batchelor/man/mnnCorrect.html" TargetMode="External"/><Relationship Id="rId31" Type="http://schemas.openxmlformats.org/officeDocument/2006/relationships/hyperlink" Target="https://www.nature.com/articles/s41587-019-0113-3" TargetMode="External"/><Relationship Id="rId4" Type="http://schemas.openxmlformats.org/officeDocument/2006/relationships/hyperlink" Target="http://htmlpreview.github.io/?https://github.com/MacoskoLab/liger/blob/master/vignettes/liger-vignette.html" TargetMode="External"/><Relationship Id="rId9" Type="http://schemas.openxmlformats.org/officeDocument/2006/relationships/hyperlink" Target="https://bioconductor.org/packages/release/bioc/vignettes/sva/inst/doc/sva.pdf" TargetMode="External"/><Relationship Id="rId14" Type="http://schemas.openxmlformats.org/officeDocument/2006/relationships/hyperlink" Target="https://bbknn.readthedocs.io/en/latest/" TargetMode="External"/><Relationship Id="rId22" Type="http://schemas.openxmlformats.org/officeDocument/2006/relationships/hyperlink" Target="https://bbknn.readthedocs.io/en/latest/" TargetMode="External"/><Relationship Id="rId27" Type="http://schemas.openxmlformats.org/officeDocument/2006/relationships/hyperlink" Target="https://www.nature.com/articles/s41592-019-0466-z" TargetMode="External"/><Relationship Id="rId30" Type="http://schemas.openxmlformats.org/officeDocument/2006/relationships/hyperlink" Target="https://www.ncbi.nlm.nih.gov/pmc/articles/PMC6152897/" TargetMode="External"/><Relationship Id="rId35" Type="http://schemas.openxmlformats.org/officeDocument/2006/relationships/hyperlink" Target="https://academic.oup.com/bioinformatics/article/28/6/882/311263" TargetMode="External"/><Relationship Id="rId8" Type="http://schemas.openxmlformats.org/officeDocument/2006/relationships/hyperlink" Target="https://satijalab.org/seurat/vignette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24"/>
  <sheetViews>
    <sheetView workbookViewId="0">
      <selection activeCell="B21" sqref="B21"/>
    </sheetView>
  </sheetViews>
  <sheetFormatPr baseColWidth="10" defaultColWidth="14.5" defaultRowHeight="15.75" customHeight="1" x14ac:dyDescent="0.15"/>
  <cols>
    <col min="2" max="2" width="33" customWidth="1"/>
    <col min="17" max="17" width="25.83203125" customWidth="1"/>
  </cols>
  <sheetData>
    <row r="1" spans="1:30" ht="15.75" customHeight="1" x14ac:dyDescent="0.2">
      <c r="A1" s="56" t="s">
        <v>0</v>
      </c>
      <c r="B1" s="56" t="s">
        <v>2</v>
      </c>
      <c r="C1" s="56" t="s">
        <v>3</v>
      </c>
      <c r="D1" s="54"/>
      <c r="E1" s="3" t="s">
        <v>4</v>
      </c>
      <c r="F1" s="1" t="s">
        <v>5</v>
      </c>
      <c r="G1" s="56" t="s">
        <v>6</v>
      </c>
      <c r="H1" s="54"/>
      <c r="I1" s="54"/>
      <c r="J1" s="54"/>
      <c r="K1" s="56" t="s">
        <v>7</v>
      </c>
      <c r="L1" s="54"/>
      <c r="M1" s="54"/>
      <c r="N1" s="3" t="s">
        <v>8</v>
      </c>
      <c r="O1" s="56" t="s">
        <v>9</v>
      </c>
      <c r="P1" s="54"/>
      <c r="Q1" s="3" t="s">
        <v>10</v>
      </c>
      <c r="R1" s="3" t="s">
        <v>12</v>
      </c>
      <c r="S1" s="3"/>
      <c r="U1" s="55"/>
      <c r="V1" s="53"/>
      <c r="W1" s="55"/>
      <c r="X1" s="55"/>
      <c r="Y1" s="55"/>
      <c r="Z1" s="53"/>
      <c r="AA1" s="55"/>
      <c r="AB1" s="53"/>
      <c r="AC1" s="53"/>
      <c r="AD1" s="53"/>
    </row>
    <row r="2" spans="1:30" ht="15.75" customHeight="1" x14ac:dyDescent="0.2">
      <c r="A2" s="54"/>
      <c r="B2" s="54"/>
      <c r="C2" s="7" t="s">
        <v>13</v>
      </c>
      <c r="D2" s="9" t="s">
        <v>21</v>
      </c>
      <c r="E2" s="9" t="s">
        <v>25</v>
      </c>
      <c r="F2" s="9" t="s">
        <v>26</v>
      </c>
      <c r="G2" s="9" t="s">
        <v>24</v>
      </c>
      <c r="H2" s="11" t="s">
        <v>27</v>
      </c>
      <c r="I2" s="7" t="s">
        <v>29</v>
      </c>
      <c r="J2" s="11" t="s">
        <v>30</v>
      </c>
      <c r="K2" s="9" t="s">
        <v>31</v>
      </c>
      <c r="L2" s="9" t="s">
        <v>32</v>
      </c>
      <c r="M2" s="9" t="s">
        <v>33</v>
      </c>
      <c r="N2" s="9" t="s">
        <v>34</v>
      </c>
      <c r="O2" s="12" t="s">
        <v>35</v>
      </c>
      <c r="P2" s="7" t="s">
        <v>36</v>
      </c>
      <c r="Q2" s="7" t="s">
        <v>37</v>
      </c>
      <c r="R2" s="7" t="s">
        <v>38</v>
      </c>
      <c r="S2" s="13"/>
      <c r="U2" s="54"/>
      <c r="V2" s="54"/>
      <c r="W2" s="54"/>
      <c r="X2" s="54"/>
      <c r="Y2" s="54"/>
      <c r="Z2" s="54"/>
      <c r="AA2" s="54"/>
      <c r="AB2" s="54"/>
      <c r="AC2" s="54"/>
      <c r="AD2" s="54"/>
    </row>
    <row r="3" spans="1:30" ht="15.75" customHeight="1" x14ac:dyDescent="0.2">
      <c r="A3" s="5" t="s">
        <v>11</v>
      </c>
      <c r="B3" s="15" t="str">
        <f>HYPERLINK("https://github.com/Teichlab/bbknn","https://github.com/Teichlab/bbknn")</f>
        <v>https://github.com/Teichlab/bbknn</v>
      </c>
      <c r="C3" s="8">
        <v>1</v>
      </c>
      <c r="D3" s="8">
        <v>1</v>
      </c>
      <c r="E3" s="8">
        <v>1</v>
      </c>
      <c r="F3" s="5">
        <v>0</v>
      </c>
      <c r="G3" s="8">
        <v>1</v>
      </c>
      <c r="H3" s="5">
        <v>1</v>
      </c>
      <c r="I3" s="8">
        <v>1</v>
      </c>
      <c r="J3" s="8">
        <v>1</v>
      </c>
      <c r="K3" s="8">
        <v>1</v>
      </c>
      <c r="L3" s="8">
        <v>1</v>
      </c>
      <c r="M3" s="8">
        <v>1</v>
      </c>
      <c r="N3" s="8">
        <v>1</v>
      </c>
      <c r="O3" s="16">
        <v>0.5</v>
      </c>
      <c r="P3" s="8">
        <v>1</v>
      </c>
      <c r="Q3" s="8">
        <v>1</v>
      </c>
      <c r="R3" s="8">
        <v>1</v>
      </c>
      <c r="S3" s="13"/>
      <c r="U3" s="18"/>
      <c r="V3" s="18"/>
      <c r="W3" s="18"/>
      <c r="X3" s="18"/>
      <c r="Y3" s="18"/>
      <c r="Z3" s="18"/>
      <c r="AA3" s="18"/>
      <c r="AB3" s="18"/>
      <c r="AC3" s="18"/>
    </row>
    <row r="4" spans="1:30" ht="15.75" customHeight="1" x14ac:dyDescent="0.2">
      <c r="A4" s="5" t="s">
        <v>14</v>
      </c>
      <c r="B4" s="15" t="str">
        <f>HYPERLINK("https://github.com/hms-dbmi/conos","https://github.com/hms-dbmi/conos")</f>
        <v>https://github.com/hms-dbmi/conos</v>
      </c>
      <c r="C4" s="8">
        <v>1</v>
      </c>
      <c r="D4" s="8">
        <v>1</v>
      </c>
      <c r="E4" s="8">
        <v>1</v>
      </c>
      <c r="F4" s="5">
        <v>0</v>
      </c>
      <c r="G4" s="8">
        <v>1</v>
      </c>
      <c r="H4" s="5">
        <v>1</v>
      </c>
      <c r="I4" s="5">
        <v>1</v>
      </c>
      <c r="J4" s="8">
        <v>1</v>
      </c>
      <c r="K4" s="8">
        <v>0</v>
      </c>
      <c r="L4" s="8">
        <v>0</v>
      </c>
      <c r="M4" s="8">
        <v>0</v>
      </c>
      <c r="N4" s="8">
        <v>1</v>
      </c>
      <c r="O4" s="16">
        <v>1</v>
      </c>
      <c r="P4" s="8">
        <v>1</v>
      </c>
      <c r="Q4" s="8">
        <v>1</v>
      </c>
      <c r="R4" s="8">
        <v>1</v>
      </c>
      <c r="S4" s="13"/>
      <c r="U4" s="18"/>
      <c r="V4" s="18"/>
      <c r="W4" s="18"/>
      <c r="X4" s="18"/>
      <c r="Y4" s="18"/>
      <c r="Z4" s="18"/>
      <c r="AA4" s="18"/>
      <c r="AB4" s="18"/>
      <c r="AC4" s="18"/>
    </row>
    <row r="5" spans="1:30" ht="15.75" customHeight="1" x14ac:dyDescent="0.2">
      <c r="A5" s="5" t="s">
        <v>15</v>
      </c>
      <c r="B5" s="15" t="str">
        <f>HYPERLINK("https://github.com/immunogenomics/harmony","https://github.com/immunogenomics/harmony")</f>
        <v>https://github.com/immunogenomics/harmony</v>
      </c>
      <c r="C5" s="8">
        <v>1</v>
      </c>
      <c r="D5" s="8">
        <v>1</v>
      </c>
      <c r="E5" s="8">
        <v>1</v>
      </c>
      <c r="F5" s="5">
        <v>1</v>
      </c>
      <c r="G5" s="8">
        <v>1</v>
      </c>
      <c r="H5" s="5">
        <v>1</v>
      </c>
      <c r="I5" s="5">
        <v>1</v>
      </c>
      <c r="J5" s="8">
        <v>0</v>
      </c>
      <c r="K5" s="5">
        <v>1</v>
      </c>
      <c r="L5" s="5">
        <v>1</v>
      </c>
      <c r="M5" s="5">
        <v>1</v>
      </c>
      <c r="N5" s="8">
        <v>1</v>
      </c>
      <c r="O5" s="16">
        <v>1</v>
      </c>
      <c r="P5" s="8">
        <v>1</v>
      </c>
      <c r="Q5" s="5">
        <v>1</v>
      </c>
      <c r="R5" s="8">
        <v>1</v>
      </c>
      <c r="S5" s="13"/>
      <c r="U5" s="18"/>
      <c r="V5" s="18"/>
      <c r="W5" s="18"/>
      <c r="X5" s="18"/>
      <c r="Y5" s="18"/>
      <c r="Z5" s="18"/>
      <c r="AA5" s="18"/>
      <c r="AB5" s="18"/>
      <c r="AC5" s="18"/>
    </row>
    <row r="6" spans="1:30" ht="15.75" customHeight="1" x14ac:dyDescent="0.2">
      <c r="A6" s="5" t="s">
        <v>16</v>
      </c>
      <c r="B6" s="15" t="str">
        <f>HYPERLINK("https://github.com/MacoskoLab/liger","https://github.com/MacoskoLab/liger")</f>
        <v>https://github.com/MacoskoLab/liger</v>
      </c>
      <c r="C6" s="8">
        <v>1</v>
      </c>
      <c r="D6" s="8">
        <v>1</v>
      </c>
      <c r="E6" s="8">
        <v>1</v>
      </c>
      <c r="F6" s="5">
        <v>1</v>
      </c>
      <c r="G6" s="8">
        <v>1</v>
      </c>
      <c r="H6" s="5">
        <v>1</v>
      </c>
      <c r="I6" s="8">
        <v>1</v>
      </c>
      <c r="J6" s="8">
        <v>0</v>
      </c>
      <c r="K6" s="8">
        <v>1</v>
      </c>
      <c r="L6" s="8">
        <v>1</v>
      </c>
      <c r="M6" s="8">
        <v>1</v>
      </c>
      <c r="N6" s="8">
        <v>1</v>
      </c>
      <c r="O6" s="16">
        <v>1</v>
      </c>
      <c r="P6" s="8">
        <v>0</v>
      </c>
      <c r="Q6" s="5">
        <v>0.25</v>
      </c>
      <c r="R6" s="8">
        <v>1</v>
      </c>
      <c r="S6" s="13"/>
      <c r="U6" s="18"/>
      <c r="V6" s="18"/>
      <c r="W6" s="18"/>
      <c r="X6" s="18"/>
      <c r="Y6" s="18"/>
      <c r="Z6" s="18"/>
      <c r="AA6" s="18"/>
      <c r="AB6" s="18"/>
      <c r="AC6" s="18"/>
    </row>
    <row r="7" spans="1:30" ht="15.75" customHeight="1" x14ac:dyDescent="0.2">
      <c r="A7" s="5" t="s">
        <v>17</v>
      </c>
      <c r="B7" s="15" t="str">
        <f>HYPERLINK("https://github.com/chriscainx/mnnpy","https://github.com/chriscainx/mnnpy")</f>
        <v>https://github.com/chriscainx/mnnpy</v>
      </c>
      <c r="C7" s="8">
        <v>1</v>
      </c>
      <c r="D7" s="8">
        <v>1</v>
      </c>
      <c r="E7" s="8">
        <v>1</v>
      </c>
      <c r="F7" s="5">
        <v>0</v>
      </c>
      <c r="G7" s="5">
        <v>1</v>
      </c>
      <c r="H7" s="5">
        <v>1</v>
      </c>
      <c r="I7" s="5">
        <v>0.25</v>
      </c>
      <c r="J7" s="5">
        <v>1</v>
      </c>
      <c r="K7" s="5">
        <v>1</v>
      </c>
      <c r="L7" s="5">
        <v>1</v>
      </c>
      <c r="M7" s="5">
        <v>1</v>
      </c>
      <c r="N7" s="5">
        <v>1</v>
      </c>
      <c r="O7" s="16">
        <v>1</v>
      </c>
      <c r="P7" s="5">
        <v>1</v>
      </c>
      <c r="Q7" s="5">
        <v>0.5</v>
      </c>
      <c r="R7" s="5">
        <v>1</v>
      </c>
      <c r="S7" s="13"/>
      <c r="U7" s="18"/>
      <c r="V7" s="18"/>
      <c r="W7" s="18"/>
      <c r="X7" s="18"/>
      <c r="Y7" s="18"/>
      <c r="Z7" s="18"/>
      <c r="AA7" s="18"/>
      <c r="AB7" s="18"/>
      <c r="AC7" s="18"/>
    </row>
    <row r="8" spans="1:30" ht="15.75" customHeight="1" x14ac:dyDescent="0.2">
      <c r="A8" s="5" t="s">
        <v>18</v>
      </c>
      <c r="B8" s="15" t="str">
        <f>HYPERLINK("https://github.com/brianhie/scanorama","https://github.com/brianhie/scanorama")</f>
        <v>https://github.com/brianhie/scanorama</v>
      </c>
      <c r="C8" s="8">
        <v>1</v>
      </c>
      <c r="D8" s="8">
        <v>1</v>
      </c>
      <c r="E8" s="8">
        <v>1</v>
      </c>
      <c r="F8" s="5">
        <v>0</v>
      </c>
      <c r="G8" s="5">
        <v>0.5</v>
      </c>
      <c r="H8" s="5">
        <v>0</v>
      </c>
      <c r="I8" s="5">
        <v>0</v>
      </c>
      <c r="J8" s="5">
        <v>1</v>
      </c>
      <c r="K8" s="5">
        <v>1</v>
      </c>
      <c r="L8" s="5">
        <v>1</v>
      </c>
      <c r="M8" s="5">
        <v>1</v>
      </c>
      <c r="N8" s="5">
        <v>1</v>
      </c>
      <c r="O8" s="16">
        <v>1</v>
      </c>
      <c r="P8" s="5">
        <v>1</v>
      </c>
      <c r="Q8" s="5">
        <v>0.5</v>
      </c>
      <c r="R8" s="5">
        <v>1</v>
      </c>
      <c r="S8" s="13"/>
      <c r="U8" s="18"/>
      <c r="V8" s="18"/>
      <c r="W8" s="18"/>
      <c r="X8" s="18"/>
      <c r="Y8" s="18"/>
      <c r="Z8" s="18"/>
      <c r="AA8" s="18"/>
      <c r="AB8" s="18"/>
      <c r="AC8" s="18"/>
    </row>
    <row r="9" spans="1:30" ht="15.75" customHeight="1" x14ac:dyDescent="0.2">
      <c r="A9" s="5" t="s">
        <v>19</v>
      </c>
      <c r="B9" s="15" t="str">
        <f>HYPERLINK("https://github.com/YosefLab/scVI","https://github.com/YosefLab/scVI")</f>
        <v>https://github.com/YosefLab/scVI</v>
      </c>
      <c r="C9" s="8">
        <v>1</v>
      </c>
      <c r="D9" s="8">
        <v>1</v>
      </c>
      <c r="E9" s="8">
        <v>1</v>
      </c>
      <c r="F9" s="5">
        <v>1</v>
      </c>
      <c r="G9" s="5">
        <v>1</v>
      </c>
      <c r="H9" s="5">
        <v>1</v>
      </c>
      <c r="I9" s="5">
        <v>0.5</v>
      </c>
      <c r="J9" s="5">
        <v>0</v>
      </c>
      <c r="K9" s="5">
        <v>1</v>
      </c>
      <c r="L9" s="5">
        <v>1</v>
      </c>
      <c r="M9" s="5">
        <v>1</v>
      </c>
      <c r="N9" s="5">
        <v>1</v>
      </c>
      <c r="O9" s="16">
        <v>0.25</v>
      </c>
      <c r="P9" s="5">
        <v>0</v>
      </c>
      <c r="Q9" s="5">
        <v>0.5</v>
      </c>
      <c r="R9" s="5">
        <v>1</v>
      </c>
      <c r="S9" s="13"/>
      <c r="U9" s="18"/>
      <c r="V9" s="18"/>
      <c r="W9" s="18"/>
      <c r="X9" s="18"/>
      <c r="Y9" s="18"/>
      <c r="Z9" s="18"/>
      <c r="AA9" s="18"/>
      <c r="AB9" s="18"/>
      <c r="AC9" s="18"/>
    </row>
    <row r="10" spans="1:30" ht="15.75" customHeight="1" x14ac:dyDescent="0.2">
      <c r="A10" s="5" t="s">
        <v>20</v>
      </c>
      <c r="B10" s="15" t="s">
        <v>64</v>
      </c>
      <c r="C10" s="8">
        <v>1</v>
      </c>
      <c r="D10" s="8">
        <v>1</v>
      </c>
      <c r="E10" s="8">
        <v>1</v>
      </c>
      <c r="F10" s="5">
        <v>1</v>
      </c>
      <c r="G10" s="5">
        <v>1</v>
      </c>
      <c r="H10" s="5">
        <v>1</v>
      </c>
      <c r="I10" s="5">
        <v>1</v>
      </c>
      <c r="J10" s="5">
        <v>0</v>
      </c>
      <c r="K10" s="5">
        <v>1</v>
      </c>
      <c r="L10" s="5">
        <v>1</v>
      </c>
      <c r="M10" s="5">
        <v>1</v>
      </c>
      <c r="N10" s="5">
        <v>1</v>
      </c>
      <c r="O10" s="16">
        <v>1</v>
      </c>
      <c r="P10" s="5">
        <v>1</v>
      </c>
      <c r="Q10" s="5">
        <v>0.25</v>
      </c>
      <c r="R10" s="5">
        <v>1</v>
      </c>
      <c r="S10" s="13"/>
      <c r="U10" s="18"/>
      <c r="V10" s="18"/>
      <c r="W10" s="18"/>
      <c r="X10" s="18"/>
      <c r="Y10" s="18"/>
      <c r="Z10" s="18"/>
      <c r="AA10" s="18"/>
      <c r="AB10" s="18"/>
      <c r="AC10" s="18"/>
    </row>
    <row r="11" spans="1:30" ht="15.75" customHeight="1" x14ac:dyDescent="0.2">
      <c r="A11" s="5" t="s">
        <v>22</v>
      </c>
      <c r="B11" s="15" t="s">
        <v>65</v>
      </c>
      <c r="C11" s="8">
        <v>1</v>
      </c>
      <c r="D11" s="8">
        <v>1</v>
      </c>
      <c r="E11" s="8">
        <v>1</v>
      </c>
      <c r="F11" s="5">
        <v>1</v>
      </c>
      <c r="G11" s="5">
        <v>1</v>
      </c>
      <c r="H11" s="5">
        <v>1</v>
      </c>
      <c r="I11" s="5">
        <v>0.5</v>
      </c>
      <c r="J11" s="5">
        <v>0</v>
      </c>
      <c r="K11" s="5">
        <v>0</v>
      </c>
      <c r="L11" s="5">
        <v>0</v>
      </c>
      <c r="M11" s="5">
        <v>0</v>
      </c>
      <c r="N11" s="5">
        <v>0</v>
      </c>
      <c r="O11" s="16">
        <v>0.5</v>
      </c>
      <c r="P11" s="5">
        <v>0</v>
      </c>
      <c r="Q11" s="5">
        <v>0.5</v>
      </c>
      <c r="R11" s="5">
        <v>1</v>
      </c>
      <c r="S11" s="13"/>
      <c r="U11" s="18"/>
      <c r="V11" s="18"/>
      <c r="W11" s="18"/>
      <c r="X11" s="18"/>
      <c r="Y11" s="18"/>
      <c r="Z11" s="18"/>
      <c r="AA11" s="18"/>
      <c r="AB11" s="18"/>
      <c r="AC11" s="18"/>
    </row>
    <row r="12" spans="1:30" ht="15.75" customHeight="1" x14ac:dyDescent="0.2">
      <c r="A12" s="29" t="s">
        <v>23</v>
      </c>
      <c r="B12" s="40" t="s">
        <v>66</v>
      </c>
      <c r="C12" s="8">
        <v>1</v>
      </c>
      <c r="D12" s="8">
        <v>1</v>
      </c>
      <c r="E12" s="41">
        <v>1</v>
      </c>
      <c r="F12" s="29">
        <v>1</v>
      </c>
      <c r="G12" s="29">
        <v>1</v>
      </c>
      <c r="H12" s="29">
        <v>1</v>
      </c>
      <c r="I12" s="41">
        <v>0.25</v>
      </c>
      <c r="J12" s="29">
        <v>0</v>
      </c>
      <c r="K12" s="29">
        <v>1</v>
      </c>
      <c r="L12" s="29">
        <v>1</v>
      </c>
      <c r="M12" s="29">
        <v>1</v>
      </c>
      <c r="N12" s="29">
        <v>1</v>
      </c>
      <c r="O12" s="29">
        <v>0.5</v>
      </c>
      <c r="P12" s="29">
        <v>0</v>
      </c>
      <c r="Q12" s="29">
        <v>1</v>
      </c>
      <c r="R12" s="29">
        <v>1</v>
      </c>
      <c r="U12" s="18"/>
      <c r="V12" s="18"/>
      <c r="W12" s="18"/>
      <c r="X12" s="18"/>
      <c r="Y12" s="18"/>
      <c r="Z12" s="18"/>
      <c r="AA12" s="18"/>
      <c r="AB12" s="18"/>
      <c r="AC12" s="18"/>
    </row>
    <row r="13" spans="1:30" ht="15.75" customHeight="1" thickBot="1" x14ac:dyDescent="0.2"/>
    <row r="14" spans="1:30" ht="15.75" customHeight="1" thickBot="1" x14ac:dyDescent="0.2">
      <c r="A14" s="59" t="s">
        <v>104</v>
      </c>
    </row>
    <row r="15" spans="1:30" ht="13" x14ac:dyDescent="0.15">
      <c r="T15" s="42"/>
      <c r="U15" s="43"/>
    </row>
    <row r="16" spans="1:30" ht="13" x14ac:dyDescent="0.15">
      <c r="A16" s="52"/>
      <c r="T16" s="42"/>
      <c r="U16" s="43"/>
    </row>
    <row r="17" spans="20:21" ht="13" x14ac:dyDescent="0.15">
      <c r="T17" s="42"/>
      <c r="U17" s="43"/>
    </row>
    <row r="18" spans="20:21" ht="13" x14ac:dyDescent="0.15">
      <c r="T18" s="42"/>
      <c r="U18" s="43"/>
    </row>
    <row r="19" spans="20:21" ht="13" x14ac:dyDescent="0.15">
      <c r="T19" s="42"/>
      <c r="U19" s="43"/>
    </row>
    <row r="20" spans="20:21" ht="13" x14ac:dyDescent="0.15">
      <c r="T20" s="42"/>
      <c r="U20" s="43"/>
    </row>
    <row r="21" spans="20:21" ht="13" x14ac:dyDescent="0.15">
      <c r="T21" s="44"/>
      <c r="U21" s="43"/>
    </row>
    <row r="22" spans="20:21" ht="13" x14ac:dyDescent="0.15">
      <c r="T22" s="42"/>
      <c r="U22" s="43"/>
    </row>
    <row r="23" spans="20:21" ht="13" x14ac:dyDescent="0.15">
      <c r="T23" s="42"/>
      <c r="U23" s="43"/>
    </row>
    <row r="24" spans="20:21" ht="13" x14ac:dyDescent="0.15">
      <c r="T24" s="42"/>
      <c r="U24" s="43"/>
    </row>
  </sheetData>
  <mergeCells count="16">
    <mergeCell ref="O1:P1"/>
    <mergeCell ref="AA1:AA2"/>
    <mergeCell ref="AB1:AB2"/>
    <mergeCell ref="AC1:AC2"/>
    <mergeCell ref="A1:A2"/>
    <mergeCell ref="B1:B2"/>
    <mergeCell ref="C1:D1"/>
    <mergeCell ref="G1:J1"/>
    <mergeCell ref="K1:M1"/>
    <mergeCell ref="AD1:AD2"/>
    <mergeCell ref="U1:U2"/>
    <mergeCell ref="V1:V2"/>
    <mergeCell ref="W1:W2"/>
    <mergeCell ref="X1:X2"/>
    <mergeCell ref="Y1:Y2"/>
    <mergeCell ref="Z1:Z2"/>
  </mergeCells>
  <hyperlinks>
    <hyperlink ref="B10" r:id="rId1" xr:uid="{00000000-0004-0000-0000-000000000000}"/>
    <hyperlink ref="B11" r:id="rId2" xr:uid="{00000000-0004-0000-0000-000001000000}"/>
    <hyperlink ref="B12" r:id="rId3" xr:uid="{00000000-0004-0000-0000-000002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L16"/>
  <sheetViews>
    <sheetView tabSelected="1" workbookViewId="0">
      <selection activeCell="A2" sqref="A2"/>
    </sheetView>
  </sheetViews>
  <sheetFormatPr baseColWidth="10" defaultColWidth="14.5" defaultRowHeight="15.75" customHeight="1" x14ac:dyDescent="0.15"/>
  <cols>
    <col min="1" max="1" width="18.83203125" customWidth="1"/>
    <col min="2" max="2" width="33.33203125" customWidth="1"/>
  </cols>
  <sheetData>
    <row r="1" spans="1:12" ht="15.75" customHeight="1" thickBot="1" x14ac:dyDescent="0.25">
      <c r="A1" s="2" t="s">
        <v>1</v>
      </c>
    </row>
    <row r="2" spans="1:12" ht="15.75" customHeight="1" thickBot="1" x14ac:dyDescent="0.2">
      <c r="A2" s="58" t="s">
        <v>104</v>
      </c>
    </row>
    <row r="3" spans="1:12" ht="17" x14ac:dyDescent="0.15">
      <c r="C3" s="4" t="s">
        <v>0</v>
      </c>
    </row>
    <row r="4" spans="1:12" ht="15.75" customHeight="1" x14ac:dyDescent="0.2">
      <c r="C4" s="6" t="s">
        <v>11</v>
      </c>
      <c r="D4" s="6" t="s">
        <v>14</v>
      </c>
      <c r="E4" s="6" t="s">
        <v>15</v>
      </c>
      <c r="F4" s="6" t="s">
        <v>16</v>
      </c>
      <c r="G4" s="6" t="s">
        <v>17</v>
      </c>
      <c r="H4" s="6" t="s">
        <v>18</v>
      </c>
      <c r="I4" s="6" t="s">
        <v>19</v>
      </c>
      <c r="J4" s="6" t="s">
        <v>20</v>
      </c>
      <c r="K4" s="6" t="s">
        <v>22</v>
      </c>
      <c r="L4" s="6" t="s">
        <v>23</v>
      </c>
    </row>
    <row r="5" spans="1:12" ht="24" customHeight="1" x14ac:dyDescent="0.15">
      <c r="A5" s="57" t="s">
        <v>6</v>
      </c>
      <c r="B5" s="10" t="s">
        <v>24</v>
      </c>
      <c r="C5" s="14" t="s">
        <v>28</v>
      </c>
      <c r="D5" s="14" t="s">
        <v>39</v>
      </c>
      <c r="E5" s="14" t="s">
        <v>40</v>
      </c>
      <c r="F5" s="14" t="s">
        <v>41</v>
      </c>
      <c r="G5" s="17" t="s">
        <v>42</v>
      </c>
      <c r="H5" s="19" t="s">
        <v>43</v>
      </c>
      <c r="I5" s="14" t="s">
        <v>44</v>
      </c>
      <c r="J5" s="14" t="s">
        <v>45</v>
      </c>
      <c r="K5" s="20" t="s">
        <v>46</v>
      </c>
      <c r="L5" s="14" t="s">
        <v>47</v>
      </c>
    </row>
    <row r="6" spans="1:12" ht="39.75" customHeight="1" x14ac:dyDescent="0.15">
      <c r="A6" s="54"/>
      <c r="B6" s="21" t="s">
        <v>27</v>
      </c>
      <c r="C6" s="22" t="s">
        <v>48</v>
      </c>
      <c r="D6" s="23"/>
      <c r="E6" s="24"/>
      <c r="F6" s="25" t="s">
        <v>49</v>
      </c>
      <c r="G6" s="24"/>
      <c r="H6" s="26"/>
      <c r="I6" s="24"/>
      <c r="J6" s="24"/>
      <c r="K6" s="27"/>
      <c r="L6" s="23"/>
    </row>
    <row r="7" spans="1:12" ht="43.5" customHeight="1" x14ac:dyDescent="0.15">
      <c r="A7" s="54"/>
      <c r="B7" s="28" t="s">
        <v>50</v>
      </c>
      <c r="C7" s="30" t="s">
        <v>51</v>
      </c>
      <c r="D7" s="30" t="s">
        <v>52</v>
      </c>
      <c r="E7" s="30" t="s">
        <v>53</v>
      </c>
      <c r="F7" s="30" t="s">
        <v>54</v>
      </c>
      <c r="G7" s="31" t="s">
        <v>42</v>
      </c>
      <c r="H7" s="32" t="s">
        <v>43</v>
      </c>
      <c r="I7" s="33" t="s">
        <v>55</v>
      </c>
      <c r="J7" s="30" t="s">
        <v>56</v>
      </c>
      <c r="K7" s="34" t="s">
        <v>46</v>
      </c>
      <c r="L7" s="35" t="s">
        <v>47</v>
      </c>
    </row>
    <row r="8" spans="1:12" ht="42.75" customHeight="1" x14ac:dyDescent="0.15">
      <c r="A8" s="54"/>
      <c r="B8" s="21" t="s">
        <v>30</v>
      </c>
      <c r="C8" s="36" t="str">
        <f>HYPERLINK("https://github.com/Teichlab/bbknn","https://github.com/Teichlab/bbknn")</f>
        <v>https://github.com/Teichlab/bbknn</v>
      </c>
      <c r="D8" s="22" t="s">
        <v>57</v>
      </c>
      <c r="E8" s="26"/>
      <c r="F8" s="26"/>
      <c r="G8" s="22" t="s">
        <v>58</v>
      </c>
      <c r="H8" s="14" t="s">
        <v>43</v>
      </c>
      <c r="I8" s="26"/>
      <c r="J8" s="26"/>
      <c r="K8" s="26"/>
      <c r="L8" s="37"/>
    </row>
    <row r="9" spans="1:12" ht="35.25" customHeight="1" x14ac:dyDescent="0.15">
      <c r="A9" s="57" t="s">
        <v>7</v>
      </c>
      <c r="B9" s="10" t="s">
        <v>31</v>
      </c>
      <c r="C9" s="14" t="s">
        <v>59</v>
      </c>
      <c r="D9" s="38"/>
      <c r="E9" s="30" t="s">
        <v>60</v>
      </c>
      <c r="F9" s="30" t="s">
        <v>60</v>
      </c>
      <c r="G9" s="14" t="s">
        <v>61</v>
      </c>
      <c r="H9" s="17" t="s">
        <v>62</v>
      </c>
      <c r="I9" s="14" t="s">
        <v>63</v>
      </c>
      <c r="J9" s="30" t="s">
        <v>60</v>
      </c>
      <c r="K9" s="26"/>
      <c r="L9" s="30" t="s">
        <v>60</v>
      </c>
    </row>
    <row r="10" spans="1:12" ht="36" customHeight="1" x14ac:dyDescent="0.15">
      <c r="A10" s="54"/>
      <c r="B10" s="10" t="s">
        <v>32</v>
      </c>
      <c r="C10" s="14" t="s">
        <v>59</v>
      </c>
      <c r="D10" s="26"/>
      <c r="E10" s="30" t="s">
        <v>60</v>
      </c>
      <c r="F10" s="30" t="s">
        <v>60</v>
      </c>
      <c r="G10" s="14" t="s">
        <v>61</v>
      </c>
      <c r="H10" s="17" t="s">
        <v>62</v>
      </c>
      <c r="I10" s="14" t="s">
        <v>63</v>
      </c>
      <c r="J10" s="30" t="s">
        <v>60</v>
      </c>
      <c r="K10" s="26"/>
      <c r="L10" s="30" t="s">
        <v>60</v>
      </c>
    </row>
    <row r="11" spans="1:12" ht="34.5" customHeight="1" x14ac:dyDescent="0.15">
      <c r="A11" s="54"/>
      <c r="B11" s="10" t="s">
        <v>33</v>
      </c>
      <c r="C11" s="14" t="s">
        <v>59</v>
      </c>
      <c r="D11" s="26"/>
      <c r="E11" s="30" t="s">
        <v>60</v>
      </c>
      <c r="F11" s="30" t="s">
        <v>60</v>
      </c>
      <c r="G11" s="14" t="s">
        <v>61</v>
      </c>
      <c r="H11" s="17" t="s">
        <v>62</v>
      </c>
      <c r="I11" s="14" t="s">
        <v>63</v>
      </c>
      <c r="J11" s="30" t="s">
        <v>60</v>
      </c>
      <c r="K11" s="26"/>
      <c r="L11" s="30" t="s">
        <v>60</v>
      </c>
    </row>
    <row r="12" spans="1:12" ht="33.75" customHeight="1" x14ac:dyDescent="0.15">
      <c r="A12" s="39" t="s">
        <v>8</v>
      </c>
      <c r="B12" s="10" t="s">
        <v>34</v>
      </c>
      <c r="C12" s="14" t="s">
        <v>67</v>
      </c>
      <c r="D12" s="14" t="s">
        <v>68</v>
      </c>
      <c r="E12" s="14" t="s">
        <v>69</v>
      </c>
      <c r="F12" s="14" t="s">
        <v>70</v>
      </c>
      <c r="G12" s="14" t="s">
        <v>71</v>
      </c>
      <c r="H12" s="14" t="s">
        <v>72</v>
      </c>
      <c r="I12" s="14" t="s">
        <v>73</v>
      </c>
      <c r="J12" s="14" t="s">
        <v>74</v>
      </c>
      <c r="K12" s="32" t="s">
        <v>75</v>
      </c>
      <c r="L12" s="14" t="s">
        <v>76</v>
      </c>
    </row>
    <row r="13" spans="1:12" ht="51.75" customHeight="1" x14ac:dyDescent="0.15">
      <c r="A13" s="57" t="s">
        <v>9</v>
      </c>
      <c r="B13" s="45" t="s">
        <v>77</v>
      </c>
      <c r="C13" s="46" t="s">
        <v>78</v>
      </c>
      <c r="D13" s="25" t="s">
        <v>79</v>
      </c>
      <c r="E13" s="25" t="s">
        <v>80</v>
      </c>
      <c r="F13" s="25" t="s">
        <v>81</v>
      </c>
      <c r="G13" s="25" t="s">
        <v>82</v>
      </c>
      <c r="H13" s="25" t="s">
        <v>83</v>
      </c>
      <c r="I13" s="47" t="s">
        <v>84</v>
      </c>
      <c r="J13" s="25" t="s">
        <v>85</v>
      </c>
      <c r="K13" s="46" t="s">
        <v>86</v>
      </c>
      <c r="L13" s="48" t="s">
        <v>87</v>
      </c>
    </row>
    <row r="14" spans="1:12" ht="40.5" customHeight="1" x14ac:dyDescent="0.15">
      <c r="A14" s="54"/>
      <c r="B14" s="28" t="s">
        <v>36</v>
      </c>
      <c r="C14" s="25" t="s">
        <v>88</v>
      </c>
      <c r="D14" s="25" t="s">
        <v>89</v>
      </c>
      <c r="E14" s="49" t="s">
        <v>90</v>
      </c>
      <c r="F14" s="50"/>
      <c r="G14" s="49" t="s">
        <v>90</v>
      </c>
      <c r="H14" s="25" t="s">
        <v>88</v>
      </c>
      <c r="I14" s="50"/>
      <c r="J14" s="25" t="s">
        <v>91</v>
      </c>
      <c r="K14" s="50"/>
      <c r="L14" s="50"/>
    </row>
    <row r="15" spans="1:12" ht="77.25" customHeight="1" x14ac:dyDescent="0.15">
      <c r="A15" s="39" t="s">
        <v>10</v>
      </c>
      <c r="B15" s="28" t="s">
        <v>92</v>
      </c>
      <c r="C15" s="25" t="s">
        <v>93</v>
      </c>
      <c r="D15" s="25" t="s">
        <v>94</v>
      </c>
      <c r="E15" s="25" t="s">
        <v>95</v>
      </c>
      <c r="F15" s="47" t="s">
        <v>96</v>
      </c>
      <c r="G15" s="46" t="s">
        <v>97</v>
      </c>
      <c r="H15" s="46" t="s">
        <v>98</v>
      </c>
      <c r="I15" s="46" t="s">
        <v>99</v>
      </c>
      <c r="J15" s="47" t="s">
        <v>100</v>
      </c>
      <c r="K15" s="46" t="s">
        <v>101</v>
      </c>
      <c r="L15" s="51" t="s">
        <v>102</v>
      </c>
    </row>
    <row r="16" spans="1:12" ht="47.25" customHeight="1" x14ac:dyDescent="0.15">
      <c r="A16" s="39" t="s">
        <v>12</v>
      </c>
      <c r="B16" s="28" t="s">
        <v>38</v>
      </c>
      <c r="C16" s="25" t="s">
        <v>88</v>
      </c>
      <c r="D16" s="49" t="s">
        <v>91</v>
      </c>
      <c r="E16" s="49" t="s">
        <v>91</v>
      </c>
      <c r="F16" s="49" t="s">
        <v>103</v>
      </c>
      <c r="G16" s="49" t="s">
        <v>103</v>
      </c>
      <c r="H16" s="49" t="s">
        <v>103</v>
      </c>
      <c r="I16" s="49" t="s">
        <v>103</v>
      </c>
      <c r="J16" s="49" t="s">
        <v>103</v>
      </c>
      <c r="K16" s="49" t="s">
        <v>103</v>
      </c>
      <c r="L16" s="49" t="s">
        <v>103</v>
      </c>
    </row>
  </sheetData>
  <mergeCells count="3">
    <mergeCell ref="A5:A8"/>
    <mergeCell ref="A9:A11"/>
    <mergeCell ref="A13:A14"/>
  </mergeCells>
  <hyperlinks>
    <hyperlink ref="C5" r:id="rId1" xr:uid="{00000000-0004-0000-0100-000000000000}"/>
    <hyperlink ref="D5" r:id="rId2" xr:uid="{00000000-0004-0000-0100-000001000000}"/>
    <hyperlink ref="E5" r:id="rId3" xr:uid="{00000000-0004-0000-0100-000002000000}"/>
    <hyperlink ref="F5" r:id="rId4" xr:uid="{00000000-0004-0000-0100-000003000000}"/>
    <hyperlink ref="G5" r:id="rId5" xr:uid="{00000000-0004-0000-0100-000004000000}"/>
    <hyperlink ref="H5" r:id="rId6" xr:uid="{00000000-0004-0000-0100-000005000000}"/>
    <hyperlink ref="I5" r:id="rId7" xr:uid="{00000000-0004-0000-0100-000006000000}"/>
    <hyperlink ref="J5" r:id="rId8" xr:uid="{00000000-0004-0000-0100-000007000000}"/>
    <hyperlink ref="L5" r:id="rId9" xr:uid="{00000000-0004-0000-0100-000008000000}"/>
    <hyperlink ref="G7" r:id="rId10" xr:uid="{00000000-0004-0000-0100-000009000000}"/>
    <hyperlink ref="H7" r:id="rId11" xr:uid="{00000000-0004-0000-0100-00000A000000}"/>
    <hyperlink ref="L7" r:id="rId12" xr:uid="{00000000-0004-0000-0100-00000B000000}"/>
    <hyperlink ref="H8" r:id="rId13" xr:uid="{00000000-0004-0000-0100-00000C000000}"/>
    <hyperlink ref="C9" r:id="rId14" xr:uid="{00000000-0004-0000-0100-00000D000000}"/>
    <hyperlink ref="G9" r:id="rId15" xr:uid="{00000000-0004-0000-0100-00000E000000}"/>
    <hyperlink ref="H9" r:id="rId16" xr:uid="{00000000-0004-0000-0100-00000F000000}"/>
    <hyperlink ref="I9" r:id="rId17" xr:uid="{00000000-0004-0000-0100-000010000000}"/>
    <hyperlink ref="C10" r:id="rId18" xr:uid="{00000000-0004-0000-0100-000011000000}"/>
    <hyperlink ref="G10" r:id="rId19" xr:uid="{00000000-0004-0000-0100-000012000000}"/>
    <hyperlink ref="H10" r:id="rId20" xr:uid="{00000000-0004-0000-0100-000013000000}"/>
    <hyperlink ref="I10" r:id="rId21" xr:uid="{00000000-0004-0000-0100-000014000000}"/>
    <hyperlink ref="C11" r:id="rId22" xr:uid="{00000000-0004-0000-0100-000015000000}"/>
    <hyperlink ref="G11" r:id="rId23" xr:uid="{00000000-0004-0000-0100-000016000000}"/>
    <hyperlink ref="H11" r:id="rId24" xr:uid="{00000000-0004-0000-0100-000017000000}"/>
    <hyperlink ref="I11" r:id="rId25" xr:uid="{00000000-0004-0000-0100-000018000000}"/>
    <hyperlink ref="C12" r:id="rId26" xr:uid="{00000000-0004-0000-0100-000019000000}"/>
    <hyperlink ref="D12" r:id="rId27" xr:uid="{00000000-0004-0000-0100-00001A000000}"/>
    <hyperlink ref="E12" r:id="rId28" xr:uid="{00000000-0004-0000-0100-00001B000000}"/>
    <hyperlink ref="F12" r:id="rId29" xr:uid="{00000000-0004-0000-0100-00001C000000}"/>
    <hyperlink ref="G12" r:id="rId30" xr:uid="{00000000-0004-0000-0100-00001D000000}"/>
    <hyperlink ref="H12" r:id="rId31" xr:uid="{00000000-0004-0000-0100-00001E000000}"/>
    <hyperlink ref="I12" r:id="rId32" xr:uid="{00000000-0004-0000-0100-00001F000000}"/>
    <hyperlink ref="J12" r:id="rId33" xr:uid="{00000000-0004-0000-0100-000020000000}"/>
    <hyperlink ref="K12" r:id="rId34" xr:uid="{00000000-0004-0000-0100-000021000000}"/>
    <hyperlink ref="L12" r:id="rId35" xr:uid="{00000000-0004-0000-0100-000022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usability</vt:lpstr>
      <vt:lpstr>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Interlandi, Marta</dc:creator>
  <cp:lastModifiedBy>Malte Lücken</cp:lastModifiedBy>
  <dcterms:created xsi:type="dcterms:W3CDTF">2020-02-25T16:12:16Z</dcterms:created>
  <dcterms:modified xsi:type="dcterms:W3CDTF">2021-09-07T12:04:46Z</dcterms:modified>
</cp:coreProperties>
</file>