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te.luecken/helmholtz_munich/benchmarking_data_integration/Paper/202107_Editorial_comments/Supplementary Data/"/>
    </mc:Choice>
  </mc:AlternateContent>
  <xr:revisionPtr revIDLastSave="0" documentId="13_ncr:1_{B82B2E94-619A-9E41-82F0-7AC0F1FAF08A}" xr6:coauthVersionLast="36" xr6:coauthVersionMax="36" xr10:uidLastSave="{00000000-0000-0000-0000-000000000000}"/>
  <bookViews>
    <workbookView xWindow="0" yWindow="460" windowWidth="23460" windowHeight="13740" tabRatio="500" activeTab="1" xr2:uid="{00000000-000D-0000-FFFF-FFFF00000000}"/>
  </bookViews>
  <sheets>
    <sheet name="Pancreas totals" sheetId="1" r:id="rId1"/>
    <sheet name="Pancreas relative" sheetId="2" r:id="rId2"/>
    <sheet name="Mouse brain RNA totals" sheetId="3" r:id="rId3"/>
    <sheet name="Mouse brain RNA relative" sheetId="4" r:id="rId4"/>
    <sheet name="Tabelle4" sheetId="5" r:id="rId5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5" i="4" l="1"/>
  <c r="P15" i="4"/>
  <c r="O15" i="4"/>
  <c r="M15" i="4"/>
  <c r="L15" i="4"/>
  <c r="K15" i="4"/>
  <c r="I15" i="4"/>
  <c r="H15" i="4"/>
  <c r="G15" i="4"/>
  <c r="E15" i="4"/>
  <c r="D15" i="4"/>
  <c r="C15" i="4"/>
  <c r="Q14" i="4"/>
  <c r="P14" i="4"/>
  <c r="M14" i="4"/>
  <c r="L14" i="4"/>
  <c r="I14" i="4"/>
  <c r="H14" i="4"/>
  <c r="E14" i="4"/>
  <c r="D14" i="4"/>
  <c r="N13" i="4"/>
  <c r="M13" i="4"/>
  <c r="F13" i="4"/>
  <c r="E13" i="4"/>
  <c r="N12" i="4"/>
  <c r="F12" i="4"/>
  <c r="K6" i="4"/>
  <c r="J6" i="4"/>
  <c r="I6" i="4"/>
  <c r="G6" i="4"/>
  <c r="F6" i="4"/>
  <c r="E6" i="4"/>
  <c r="C6" i="4"/>
  <c r="B6" i="4"/>
  <c r="L5" i="4"/>
  <c r="I5" i="4"/>
  <c r="H5" i="4"/>
  <c r="E5" i="4"/>
  <c r="D5" i="4"/>
  <c r="L4" i="4"/>
  <c r="G4" i="4"/>
  <c r="D4" i="4"/>
  <c r="G3" i="4"/>
  <c r="R15" i="3"/>
  <c r="R15" i="4" s="1"/>
  <c r="R14" i="3"/>
  <c r="O14" i="4" s="1"/>
  <c r="R13" i="3"/>
  <c r="R12" i="3"/>
  <c r="L6" i="3"/>
  <c r="L6" i="4" s="1"/>
  <c r="L5" i="3"/>
  <c r="K5" i="4" s="1"/>
  <c r="L4" i="3"/>
  <c r="L3" i="3"/>
  <c r="N10" i="2"/>
  <c r="M10" i="2"/>
  <c r="L10" i="2"/>
  <c r="J10" i="2"/>
  <c r="I10" i="2"/>
  <c r="H10" i="2"/>
  <c r="F10" i="2"/>
  <c r="E10" i="2"/>
  <c r="D10" i="2"/>
  <c r="B10" i="2"/>
  <c r="O9" i="2"/>
  <c r="L9" i="2"/>
  <c r="G9" i="2"/>
  <c r="D9" i="2"/>
  <c r="K8" i="2"/>
  <c r="C8" i="2"/>
  <c r="N6" i="2"/>
  <c r="M6" i="2"/>
  <c r="L6" i="2"/>
  <c r="J6" i="2"/>
  <c r="I6" i="2"/>
  <c r="H6" i="2"/>
  <c r="F6" i="2"/>
  <c r="E6" i="2"/>
  <c r="D6" i="2"/>
  <c r="B6" i="2"/>
  <c r="O5" i="2"/>
  <c r="M5" i="2"/>
  <c r="I5" i="2"/>
  <c r="H5" i="2"/>
  <c r="D5" i="2"/>
  <c r="C5" i="2"/>
  <c r="L4" i="2"/>
  <c r="G4" i="2"/>
  <c r="B4" i="2"/>
  <c r="P11" i="1"/>
  <c r="P10" i="1"/>
  <c r="O10" i="2" s="1"/>
  <c r="P9" i="1"/>
  <c r="P8" i="1"/>
  <c r="P7" i="1"/>
  <c r="P6" i="1"/>
  <c r="O6" i="2" s="1"/>
  <c r="P5" i="1"/>
  <c r="P4" i="1"/>
  <c r="P3" i="1"/>
  <c r="L3" i="2" l="1"/>
  <c r="H3" i="2"/>
  <c r="D3" i="2"/>
  <c r="L7" i="2"/>
  <c r="H7" i="2"/>
  <c r="D7" i="2"/>
  <c r="O7" i="2"/>
  <c r="K7" i="2"/>
  <c r="L11" i="2"/>
  <c r="H11" i="2"/>
  <c r="D11" i="2"/>
  <c r="O11" i="2"/>
  <c r="K11" i="2"/>
  <c r="C11" i="2"/>
  <c r="G11" i="2"/>
  <c r="F3" i="2"/>
  <c r="K3" i="2"/>
  <c r="E7" i="2"/>
  <c r="J7" i="2"/>
  <c r="F11" i="2"/>
  <c r="N11" i="2"/>
  <c r="M4" i="2"/>
  <c r="I4" i="2"/>
  <c r="E4" i="2"/>
  <c r="M8" i="2"/>
  <c r="I8" i="2"/>
  <c r="E8" i="2"/>
  <c r="L8" i="2"/>
  <c r="H8" i="2"/>
  <c r="D8" i="2"/>
  <c r="B3" i="2"/>
  <c r="G3" i="2"/>
  <c r="M3" i="2"/>
  <c r="C4" i="2"/>
  <c r="P4" i="2" s="1"/>
  <c r="H4" i="2"/>
  <c r="N4" i="2"/>
  <c r="F7" i="2"/>
  <c r="M7" i="2"/>
  <c r="F8" i="2"/>
  <c r="N8" i="2"/>
  <c r="I11" i="2"/>
  <c r="I3" i="4"/>
  <c r="E3" i="4"/>
  <c r="H3" i="4"/>
  <c r="L3" i="4"/>
  <c r="D3" i="4"/>
  <c r="Q12" i="4"/>
  <c r="M12" i="4"/>
  <c r="I12" i="4"/>
  <c r="E12" i="4"/>
  <c r="L12" i="4"/>
  <c r="H12" i="4"/>
  <c r="D12" i="4"/>
  <c r="P12" i="4"/>
  <c r="B3" i="4"/>
  <c r="J3" i="4"/>
  <c r="G12" i="4"/>
  <c r="O12" i="4"/>
  <c r="N5" i="2"/>
  <c r="J5" i="2"/>
  <c r="F5" i="2"/>
  <c r="B5" i="2"/>
  <c r="N9" i="2"/>
  <c r="J9" i="2"/>
  <c r="F9" i="2"/>
  <c r="B9" i="2"/>
  <c r="I9" i="2"/>
  <c r="M9" i="2"/>
  <c r="E9" i="2"/>
  <c r="C3" i="2"/>
  <c r="I3" i="2"/>
  <c r="N3" i="2"/>
  <c r="D4" i="2"/>
  <c r="J4" i="2"/>
  <c r="O4" i="2"/>
  <c r="E5" i="2"/>
  <c r="K5" i="2"/>
  <c r="B7" i="2"/>
  <c r="G7" i="2"/>
  <c r="N7" i="2"/>
  <c r="G8" i="2"/>
  <c r="O8" i="2"/>
  <c r="H9" i="2"/>
  <c r="B11" i="2"/>
  <c r="J11" i="2"/>
  <c r="J4" i="4"/>
  <c r="F4" i="4"/>
  <c r="B4" i="4"/>
  <c r="I4" i="4"/>
  <c r="E4" i="4"/>
  <c r="P13" i="4"/>
  <c r="L13" i="4"/>
  <c r="H13" i="4"/>
  <c r="D13" i="4"/>
  <c r="O13" i="4"/>
  <c r="K13" i="4"/>
  <c r="G13" i="4"/>
  <c r="C13" i="4"/>
  <c r="C3" i="4"/>
  <c r="K3" i="4"/>
  <c r="H4" i="4"/>
  <c r="B12" i="4"/>
  <c r="J12" i="4"/>
  <c r="R12" i="4"/>
  <c r="I13" i="4"/>
  <c r="Q13" i="4"/>
  <c r="E3" i="2"/>
  <c r="J3" i="2"/>
  <c r="O3" i="2"/>
  <c r="F4" i="2"/>
  <c r="K4" i="2"/>
  <c r="G5" i="2"/>
  <c r="L5" i="2"/>
  <c r="C7" i="2"/>
  <c r="I7" i="2"/>
  <c r="B8" i="2"/>
  <c r="P8" i="2" s="1"/>
  <c r="J8" i="2"/>
  <c r="C9" i="2"/>
  <c r="K9" i="2"/>
  <c r="E11" i="2"/>
  <c r="M11" i="2"/>
  <c r="F3" i="4"/>
  <c r="C4" i="4"/>
  <c r="K4" i="4"/>
  <c r="C12" i="4"/>
  <c r="K12" i="4"/>
  <c r="B13" i="4"/>
  <c r="J13" i="4"/>
  <c r="R13" i="4"/>
  <c r="B5" i="4"/>
  <c r="J5" i="4"/>
  <c r="F5" i="4"/>
  <c r="B14" i="4"/>
  <c r="F14" i="4"/>
  <c r="J14" i="4"/>
  <c r="N14" i="4"/>
  <c r="R14" i="4"/>
  <c r="C6" i="2"/>
  <c r="G6" i="2"/>
  <c r="K6" i="2"/>
  <c r="C10" i="2"/>
  <c r="G10" i="2"/>
  <c r="K10" i="2"/>
  <c r="C5" i="4"/>
  <c r="G5" i="4"/>
  <c r="D6" i="4"/>
  <c r="H6" i="4"/>
  <c r="C14" i="4"/>
  <c r="G14" i="4"/>
  <c r="K14" i="4"/>
  <c r="B15" i="4"/>
  <c r="F15" i="4"/>
  <c r="J15" i="4"/>
  <c r="N15" i="4"/>
  <c r="P11" i="2" l="1"/>
  <c r="P3" i="2"/>
  <c r="P6" i="2"/>
  <c r="P7" i="2"/>
  <c r="P9" i="2"/>
  <c r="P5" i="2"/>
  <c r="P10" i="2"/>
</calcChain>
</file>

<file path=xl/sharedStrings.xml><?xml version="1.0" encoding="utf-8"?>
<sst xmlns="http://schemas.openxmlformats.org/spreadsheetml/2006/main" count="136" uniqueCount="63">
  <si>
    <t>celltype</t>
  </si>
  <si>
    <t>acinar</t>
  </si>
  <si>
    <t>activated_stellate</t>
  </si>
  <si>
    <t>alpha</t>
  </si>
  <si>
    <t>beta</t>
  </si>
  <si>
    <t>delta</t>
  </si>
  <si>
    <t>ductal</t>
  </si>
  <si>
    <t>endothelial</t>
  </si>
  <si>
    <t>epsilon</t>
  </si>
  <si>
    <t>gamma</t>
  </si>
  <si>
    <t>macrophage</t>
  </si>
  <si>
    <t>mast</t>
  </si>
  <si>
    <t>quiescent_stellate</t>
  </si>
  <si>
    <t>schwann</t>
  </si>
  <si>
    <t>t_cell</t>
  </si>
  <si>
    <t>totals</t>
  </si>
  <si>
    <t>batch</t>
  </si>
  <si>
    <t>celseq</t>
  </si>
  <si>
    <t>celseq2</t>
  </si>
  <si>
    <t>fluidigmc1</t>
  </si>
  <si>
    <t>inDrop1</t>
  </si>
  <si>
    <t>inDrop2</t>
  </si>
  <si>
    <t>inDrop3</t>
  </si>
  <si>
    <t>inDrop4</t>
  </si>
  <si>
    <t>smarter</t>
  </si>
  <si>
    <t>smartseq2</t>
  </si>
  <si>
    <t>Total (percent)</t>
  </si>
  <si>
    <t>cell_type</t>
  </si>
  <si>
    <t>astrocyte</t>
  </si>
  <si>
    <t>brain pericyte</t>
  </si>
  <si>
    <t>endothelial cell</t>
  </si>
  <si>
    <t>ependymal cell</t>
  </si>
  <si>
    <t>microglial cell</t>
  </si>
  <si>
    <t>neuron</t>
  </si>
  <si>
    <t>olfactory ensheathing cell</t>
  </si>
  <si>
    <t>oligodendrocyte</t>
  </si>
  <si>
    <t>oligodendrocyte precursor cell</t>
  </si>
  <si>
    <t>Totals</t>
  </si>
  <si>
    <t>study</t>
  </si>
  <si>
    <t>Rosenberg</t>
  </si>
  <si>
    <t>Saunders</t>
  </si>
  <si>
    <t>Tabula_muris</t>
  </si>
  <si>
    <t>Zeisel</t>
  </si>
  <si>
    <t>region</t>
  </si>
  <si>
    <t>AMY</t>
  </si>
  <si>
    <t>CB</t>
  </si>
  <si>
    <t>CTX</t>
  </si>
  <si>
    <t>ENT</t>
  </si>
  <si>
    <t>GP</t>
  </si>
  <si>
    <t>HC</t>
  </si>
  <si>
    <t>HTH</t>
  </si>
  <si>
    <t>MB</t>
  </si>
  <si>
    <t>MD</t>
  </si>
  <si>
    <t>OB</t>
  </si>
  <si>
    <t>PO</t>
  </si>
  <si>
    <t>SC</t>
  </si>
  <si>
    <t>SN</t>
  </si>
  <si>
    <t>STR</t>
  </si>
  <si>
    <t>TH</t>
  </si>
  <si>
    <t>Unknown</t>
  </si>
  <si>
    <t>Totals (percent)</t>
  </si>
  <si>
    <t>Overview of cellular identities</t>
  </si>
  <si>
    <t>Overview of cellular identities (proportions)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</si>
</sst>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2" fontId="0" fillId="0" borderId="0" xfId="0" applyNumberFormat="1" applyFont="1" applyAlignment="1">
      <alignment wrapText="1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opLeftCell="A9" zoomScaleNormal="100" workbookViewId="0">
      <selection activeCell="A14" sqref="A14"/>
    </sheetView>
  </sheetViews>
  <sheetFormatPr baseColWidth="10" defaultColWidth="8.33203125" defaultRowHeight="15" x14ac:dyDescent="0.2"/>
  <sheetData>
    <row r="1" spans="1:16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6" x14ac:dyDescent="0.2">
      <c r="A2" s="1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6" ht="16" x14ac:dyDescent="0.2">
      <c r="A3" s="1" t="s">
        <v>17</v>
      </c>
      <c r="B3" s="4">
        <v>228</v>
      </c>
      <c r="C3" s="4">
        <v>19</v>
      </c>
      <c r="D3" s="4">
        <v>191</v>
      </c>
      <c r="E3" s="4">
        <v>161</v>
      </c>
      <c r="F3" s="4">
        <v>50</v>
      </c>
      <c r="G3" s="4">
        <v>327</v>
      </c>
      <c r="H3" s="4">
        <v>5</v>
      </c>
      <c r="I3" s="4">
        <v>1</v>
      </c>
      <c r="J3" s="4">
        <v>18</v>
      </c>
      <c r="K3" s="4">
        <v>1</v>
      </c>
      <c r="L3" s="4">
        <v>1</v>
      </c>
      <c r="M3" s="4">
        <v>1</v>
      </c>
      <c r="N3" s="4">
        <v>1</v>
      </c>
      <c r="O3" s="4">
        <v>0</v>
      </c>
      <c r="P3" s="2">
        <f t="shared" ref="P3:P11" si="0">SUM(B3:O3)</f>
        <v>1004</v>
      </c>
    </row>
    <row r="4" spans="1:16" ht="16" x14ac:dyDescent="0.2">
      <c r="A4" s="1" t="s">
        <v>18</v>
      </c>
      <c r="B4" s="4">
        <v>274</v>
      </c>
      <c r="C4" s="4">
        <v>90</v>
      </c>
      <c r="D4" s="4">
        <v>843</v>
      </c>
      <c r="E4" s="4">
        <v>445</v>
      </c>
      <c r="F4" s="4">
        <v>203</v>
      </c>
      <c r="G4" s="4">
        <v>258</v>
      </c>
      <c r="H4" s="4">
        <v>21</v>
      </c>
      <c r="I4" s="4">
        <v>4</v>
      </c>
      <c r="J4" s="4">
        <v>110</v>
      </c>
      <c r="K4" s="4">
        <v>15</v>
      </c>
      <c r="L4" s="4">
        <v>6</v>
      </c>
      <c r="M4" s="4">
        <v>12</v>
      </c>
      <c r="N4" s="4">
        <v>4</v>
      </c>
      <c r="O4" s="4">
        <v>0</v>
      </c>
      <c r="P4" s="2">
        <f t="shared" si="0"/>
        <v>2285</v>
      </c>
    </row>
    <row r="5" spans="1:16" ht="32" x14ac:dyDescent="0.2">
      <c r="A5" s="1" t="s">
        <v>19</v>
      </c>
      <c r="B5" s="4">
        <v>21</v>
      </c>
      <c r="C5" s="4">
        <v>16</v>
      </c>
      <c r="D5" s="4">
        <v>239</v>
      </c>
      <c r="E5" s="4">
        <v>258</v>
      </c>
      <c r="F5" s="4">
        <v>25</v>
      </c>
      <c r="G5" s="4">
        <v>36</v>
      </c>
      <c r="H5" s="4">
        <v>14</v>
      </c>
      <c r="I5" s="4">
        <v>1</v>
      </c>
      <c r="J5" s="4">
        <v>18</v>
      </c>
      <c r="K5" s="4">
        <v>1</v>
      </c>
      <c r="L5" s="4">
        <v>3</v>
      </c>
      <c r="M5" s="4">
        <v>1</v>
      </c>
      <c r="N5" s="4">
        <v>5</v>
      </c>
      <c r="O5" s="4">
        <v>0</v>
      </c>
      <c r="P5" s="2">
        <f t="shared" si="0"/>
        <v>638</v>
      </c>
    </row>
    <row r="6" spans="1:16" ht="16" x14ac:dyDescent="0.2">
      <c r="A6" s="1" t="s">
        <v>20</v>
      </c>
      <c r="B6" s="4">
        <v>110</v>
      </c>
      <c r="C6" s="4">
        <v>51</v>
      </c>
      <c r="D6" s="4">
        <v>236</v>
      </c>
      <c r="E6" s="4">
        <v>872</v>
      </c>
      <c r="F6" s="4">
        <v>214</v>
      </c>
      <c r="G6" s="4">
        <v>120</v>
      </c>
      <c r="H6" s="4">
        <v>130</v>
      </c>
      <c r="I6" s="4">
        <v>13</v>
      </c>
      <c r="J6" s="4">
        <v>70</v>
      </c>
      <c r="K6" s="4">
        <v>14</v>
      </c>
      <c r="L6" s="4">
        <v>8</v>
      </c>
      <c r="M6" s="4">
        <v>92</v>
      </c>
      <c r="N6" s="4">
        <v>5</v>
      </c>
      <c r="O6" s="4">
        <v>2</v>
      </c>
      <c r="P6" s="2">
        <f t="shared" si="0"/>
        <v>1937</v>
      </c>
    </row>
    <row r="7" spans="1:16" ht="16" x14ac:dyDescent="0.2">
      <c r="A7" s="1" t="s">
        <v>21</v>
      </c>
      <c r="B7" s="4">
        <v>3</v>
      </c>
      <c r="C7" s="4">
        <v>81</v>
      </c>
      <c r="D7" s="4">
        <v>676</v>
      </c>
      <c r="E7" s="4">
        <v>371</v>
      </c>
      <c r="F7" s="4">
        <v>125</v>
      </c>
      <c r="G7" s="4">
        <v>301</v>
      </c>
      <c r="H7" s="4">
        <v>23</v>
      </c>
      <c r="I7" s="4">
        <v>2</v>
      </c>
      <c r="J7" s="4">
        <v>86</v>
      </c>
      <c r="K7" s="4">
        <v>17</v>
      </c>
      <c r="L7" s="4">
        <v>9</v>
      </c>
      <c r="M7" s="4">
        <v>22</v>
      </c>
      <c r="N7" s="4">
        <v>6</v>
      </c>
      <c r="O7" s="4">
        <v>2</v>
      </c>
      <c r="P7" s="2">
        <f t="shared" si="0"/>
        <v>1724</v>
      </c>
    </row>
    <row r="8" spans="1:16" ht="16" x14ac:dyDescent="0.2">
      <c r="A8" s="1" t="s">
        <v>22</v>
      </c>
      <c r="B8" s="4">
        <v>843</v>
      </c>
      <c r="C8" s="4">
        <v>100</v>
      </c>
      <c r="D8" s="4">
        <v>1130</v>
      </c>
      <c r="E8" s="4">
        <v>787</v>
      </c>
      <c r="F8" s="4">
        <v>161</v>
      </c>
      <c r="G8" s="4">
        <v>376</v>
      </c>
      <c r="H8" s="4">
        <v>92</v>
      </c>
      <c r="I8" s="4">
        <v>2</v>
      </c>
      <c r="J8" s="4">
        <v>36</v>
      </c>
      <c r="K8" s="4">
        <v>14</v>
      </c>
      <c r="L8" s="4">
        <v>7</v>
      </c>
      <c r="M8" s="4">
        <v>54</v>
      </c>
      <c r="N8" s="4">
        <v>1</v>
      </c>
      <c r="O8" s="4">
        <v>2</v>
      </c>
      <c r="P8" s="2">
        <f t="shared" si="0"/>
        <v>3605</v>
      </c>
    </row>
    <row r="9" spans="1:16" ht="16" x14ac:dyDescent="0.2">
      <c r="A9" s="1" t="s">
        <v>23</v>
      </c>
      <c r="B9" s="4">
        <v>2</v>
      </c>
      <c r="C9" s="4">
        <v>52</v>
      </c>
      <c r="D9" s="4">
        <v>284</v>
      </c>
      <c r="E9" s="4">
        <v>495</v>
      </c>
      <c r="F9" s="4">
        <v>101</v>
      </c>
      <c r="G9" s="4">
        <v>280</v>
      </c>
      <c r="H9" s="4">
        <v>7</v>
      </c>
      <c r="I9" s="4">
        <v>1</v>
      </c>
      <c r="J9" s="4">
        <v>63</v>
      </c>
      <c r="K9" s="4">
        <v>10</v>
      </c>
      <c r="L9" s="4">
        <v>1</v>
      </c>
      <c r="M9" s="4">
        <v>5</v>
      </c>
      <c r="N9" s="4">
        <v>1</v>
      </c>
      <c r="O9" s="4">
        <v>1</v>
      </c>
      <c r="P9" s="2">
        <f t="shared" si="0"/>
        <v>1303</v>
      </c>
    </row>
    <row r="10" spans="1:16" ht="16" x14ac:dyDescent="0.2">
      <c r="A10" s="1" t="s">
        <v>24</v>
      </c>
      <c r="B10" s="4">
        <v>0</v>
      </c>
      <c r="C10" s="4">
        <v>0</v>
      </c>
      <c r="D10" s="4">
        <v>886</v>
      </c>
      <c r="E10" s="4">
        <v>472</v>
      </c>
      <c r="F10" s="4">
        <v>49</v>
      </c>
      <c r="G10" s="4">
        <v>0</v>
      </c>
      <c r="H10" s="4">
        <v>0</v>
      </c>
      <c r="I10" s="4">
        <v>0</v>
      </c>
      <c r="J10" s="4">
        <v>85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2">
        <f t="shared" si="0"/>
        <v>1492</v>
      </c>
    </row>
    <row r="11" spans="1:16" ht="32" x14ac:dyDescent="0.2">
      <c r="A11" s="1" t="s">
        <v>25</v>
      </c>
      <c r="B11" s="4">
        <v>188</v>
      </c>
      <c r="C11" s="4">
        <v>55</v>
      </c>
      <c r="D11" s="4">
        <v>1008</v>
      </c>
      <c r="E11" s="4">
        <v>308</v>
      </c>
      <c r="F11" s="4">
        <v>127</v>
      </c>
      <c r="G11" s="4">
        <v>444</v>
      </c>
      <c r="H11" s="4">
        <v>21</v>
      </c>
      <c r="I11" s="4">
        <v>8</v>
      </c>
      <c r="J11" s="4">
        <v>213</v>
      </c>
      <c r="K11" s="4">
        <v>7</v>
      </c>
      <c r="L11" s="4">
        <v>7</v>
      </c>
      <c r="M11" s="4">
        <v>6</v>
      </c>
      <c r="N11" s="4">
        <v>2</v>
      </c>
      <c r="O11" s="4">
        <v>0</v>
      </c>
      <c r="P11" s="2">
        <f t="shared" si="0"/>
        <v>2394</v>
      </c>
    </row>
    <row r="14" spans="1:16" x14ac:dyDescent="0.2">
      <c r="A14" s="7" t="s">
        <v>61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abSelected="1" topLeftCell="A7" zoomScaleNormal="100" workbookViewId="0">
      <selection activeCell="F24" sqref="F24"/>
    </sheetView>
  </sheetViews>
  <sheetFormatPr baseColWidth="10" defaultColWidth="11.1640625" defaultRowHeight="15" x14ac:dyDescent="0.2"/>
  <sheetData>
    <row r="1" spans="1:1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26</v>
      </c>
    </row>
    <row r="2" spans="1:16" ht="16" x14ac:dyDescent="0.2">
      <c r="A2" s="1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6" ht="16" x14ac:dyDescent="0.2">
      <c r="A3" s="1" t="s">
        <v>17</v>
      </c>
      <c r="B3" s="5">
        <f>'Pancreas totals'!B3/('Pancreas totals'!$P3)*100</f>
        <v>22.709163346613543</v>
      </c>
      <c r="C3" s="5">
        <f>'Pancreas totals'!C3/('Pancreas totals'!$P3)*100</f>
        <v>1.8924302788844622</v>
      </c>
      <c r="D3" s="5">
        <f>'Pancreas totals'!D3/('Pancreas totals'!$P3)*100</f>
        <v>19.023904382470118</v>
      </c>
      <c r="E3" s="5">
        <f>'Pancreas totals'!E3/('Pancreas totals'!$P3)*100</f>
        <v>16.035856573705178</v>
      </c>
      <c r="F3" s="5">
        <f>'Pancreas totals'!F3/('Pancreas totals'!$P3)*100</f>
        <v>4.9800796812749004</v>
      </c>
      <c r="G3" s="5">
        <f>'Pancreas totals'!G3/('Pancreas totals'!$P3)*100</f>
        <v>32.569721115537845</v>
      </c>
      <c r="H3" s="5">
        <f>'Pancreas totals'!H3/('Pancreas totals'!$P3)*100</f>
        <v>0.49800796812749004</v>
      </c>
      <c r="I3" s="5">
        <f>'Pancreas totals'!I3/('Pancreas totals'!$P3)*100</f>
        <v>9.9601593625498003E-2</v>
      </c>
      <c r="J3" s="5">
        <f>'Pancreas totals'!J3/('Pancreas totals'!$P3)*100</f>
        <v>1.7928286852589643</v>
      </c>
      <c r="K3" s="5">
        <f>'Pancreas totals'!K3/('Pancreas totals'!$P3)*100</f>
        <v>9.9601593625498003E-2</v>
      </c>
      <c r="L3" s="5">
        <f>'Pancreas totals'!L3/('Pancreas totals'!$P3)*100</f>
        <v>9.9601593625498003E-2</v>
      </c>
      <c r="M3" s="5">
        <f>'Pancreas totals'!M3/('Pancreas totals'!$P3)*100</f>
        <v>9.9601593625498003E-2</v>
      </c>
      <c r="N3" s="5">
        <f>'Pancreas totals'!N3/('Pancreas totals'!$P3)*100</f>
        <v>9.9601593625498003E-2</v>
      </c>
      <c r="O3" s="5">
        <f>'Pancreas totals'!O3/('Pancreas totals'!$P3)*100</f>
        <v>0</v>
      </c>
      <c r="P3" s="2">
        <f t="shared" ref="P3:P11" si="0">SUM(B3:O3)</f>
        <v>99.999999999999972</v>
      </c>
    </row>
    <row r="4" spans="1:16" ht="16" x14ac:dyDescent="0.2">
      <c r="A4" s="1" t="s">
        <v>18</v>
      </c>
      <c r="B4" s="5">
        <f>'Pancreas totals'!B4/('Pancreas totals'!$P4)*100</f>
        <v>11.991247264770241</v>
      </c>
      <c r="C4" s="5">
        <f>'Pancreas totals'!C4/('Pancreas totals'!$P4)*100</f>
        <v>3.9387308533916849</v>
      </c>
      <c r="D4" s="5">
        <f>'Pancreas totals'!D4/('Pancreas totals'!$P4)*100</f>
        <v>36.892778993435449</v>
      </c>
      <c r="E4" s="5">
        <f>'Pancreas totals'!E4/('Pancreas totals'!$P4)*100</f>
        <v>19.474835886214443</v>
      </c>
      <c r="F4" s="5">
        <f>'Pancreas totals'!F4/('Pancreas totals'!$P4)*100</f>
        <v>8.8840262582056884</v>
      </c>
      <c r="G4" s="5">
        <f>'Pancreas totals'!G4/('Pancreas totals'!$P4)*100</f>
        <v>11.291028446389497</v>
      </c>
      <c r="H4" s="5">
        <f>'Pancreas totals'!H4/('Pancreas totals'!$P4)*100</f>
        <v>0.91903719912472637</v>
      </c>
      <c r="I4" s="5">
        <f>'Pancreas totals'!I4/('Pancreas totals'!$P4)*100</f>
        <v>0.17505470459518599</v>
      </c>
      <c r="J4" s="5">
        <f>'Pancreas totals'!J4/('Pancreas totals'!$P4)*100</f>
        <v>4.814004376367615</v>
      </c>
      <c r="K4" s="5">
        <f>'Pancreas totals'!K4/('Pancreas totals'!$P4)*100</f>
        <v>0.65645514223194745</v>
      </c>
      <c r="L4" s="5">
        <f>'Pancreas totals'!L4/('Pancreas totals'!$P4)*100</f>
        <v>0.26258205689277897</v>
      </c>
      <c r="M4" s="5">
        <f>'Pancreas totals'!M4/('Pancreas totals'!$P4)*100</f>
        <v>0.52516411378555794</v>
      </c>
      <c r="N4" s="5">
        <f>'Pancreas totals'!N4/('Pancreas totals'!$P4)*100</f>
        <v>0.17505470459518599</v>
      </c>
      <c r="O4" s="5">
        <f>'Pancreas totals'!O4/('Pancreas totals'!$P4)*100</f>
        <v>0</v>
      </c>
      <c r="P4" s="2">
        <f t="shared" si="0"/>
        <v>100.00000000000003</v>
      </c>
    </row>
    <row r="5" spans="1:16" ht="16" x14ac:dyDescent="0.2">
      <c r="A5" s="1" t="s">
        <v>19</v>
      </c>
      <c r="B5" s="5">
        <f>'Pancreas totals'!B5/('Pancreas totals'!$P5)*100</f>
        <v>3.2915360501567394</v>
      </c>
      <c r="C5" s="5">
        <f>'Pancreas totals'!C5/('Pancreas totals'!$P5)*100</f>
        <v>2.507836990595611</v>
      </c>
      <c r="D5" s="5">
        <f>'Pancreas totals'!D5/('Pancreas totals'!$P5)*100</f>
        <v>37.460815047021946</v>
      </c>
      <c r="E5" s="5">
        <f>'Pancreas totals'!E5/('Pancreas totals'!$P5)*100</f>
        <v>40.438871473354233</v>
      </c>
      <c r="F5" s="5">
        <f>'Pancreas totals'!F5/('Pancreas totals'!$P5)*100</f>
        <v>3.9184952978056429</v>
      </c>
      <c r="G5" s="5">
        <f>'Pancreas totals'!G5/('Pancreas totals'!$P5)*100</f>
        <v>5.6426332288401255</v>
      </c>
      <c r="H5" s="5">
        <f>'Pancreas totals'!H5/('Pancreas totals'!$P5)*100</f>
        <v>2.1943573667711598</v>
      </c>
      <c r="I5" s="5">
        <f>'Pancreas totals'!I5/('Pancreas totals'!$P5)*100</f>
        <v>0.15673981191222569</v>
      </c>
      <c r="J5" s="5">
        <f>'Pancreas totals'!J5/('Pancreas totals'!$P5)*100</f>
        <v>2.8213166144200628</v>
      </c>
      <c r="K5" s="5">
        <f>'Pancreas totals'!K5/('Pancreas totals'!$P5)*100</f>
        <v>0.15673981191222569</v>
      </c>
      <c r="L5" s="5">
        <f>'Pancreas totals'!L5/('Pancreas totals'!$P5)*100</f>
        <v>0.47021943573667713</v>
      </c>
      <c r="M5" s="5">
        <f>'Pancreas totals'!M5/('Pancreas totals'!$P5)*100</f>
        <v>0.15673981191222569</v>
      </c>
      <c r="N5" s="5">
        <f>'Pancreas totals'!N5/('Pancreas totals'!$P5)*100</f>
        <v>0.7836990595611284</v>
      </c>
      <c r="O5" s="5">
        <f>'Pancreas totals'!O5/('Pancreas totals'!$P5)*100</f>
        <v>0</v>
      </c>
      <c r="P5" s="2">
        <f t="shared" si="0"/>
        <v>100.00000000000004</v>
      </c>
    </row>
    <row r="6" spans="1:16" ht="16" x14ac:dyDescent="0.2">
      <c r="A6" s="1" t="s">
        <v>20</v>
      </c>
      <c r="B6" s="5">
        <f>'Pancreas totals'!B6/('Pancreas totals'!$P6)*100</f>
        <v>5.678884873515746</v>
      </c>
      <c r="C6" s="5">
        <f>'Pancreas totals'!C6/('Pancreas totals'!$P6)*100</f>
        <v>2.632937532266391</v>
      </c>
      <c r="D6" s="5">
        <f>'Pancreas totals'!D6/('Pancreas totals'!$P6)*100</f>
        <v>12.183789364997418</v>
      </c>
      <c r="E6" s="5">
        <f>'Pancreas totals'!E6/('Pancreas totals'!$P6)*100</f>
        <v>45.018069179143005</v>
      </c>
      <c r="F6" s="5">
        <f>'Pancreas totals'!F6/('Pancreas totals'!$P6)*100</f>
        <v>11.04801239029427</v>
      </c>
      <c r="G6" s="5">
        <f>'Pancreas totals'!G6/('Pancreas totals'!$P6)*100</f>
        <v>6.1951471347444507</v>
      </c>
      <c r="H6" s="5">
        <f>'Pancreas totals'!H6/('Pancreas totals'!$P6)*100</f>
        <v>6.7114093959731544</v>
      </c>
      <c r="I6" s="5">
        <f>'Pancreas totals'!I6/('Pancreas totals'!$P6)*100</f>
        <v>0.67114093959731547</v>
      </c>
      <c r="J6" s="5">
        <f>'Pancreas totals'!J6/('Pancreas totals'!$P6)*100</f>
        <v>3.6138358286009296</v>
      </c>
      <c r="K6" s="5">
        <f>'Pancreas totals'!K6/('Pancreas totals'!$P6)*100</f>
        <v>0.72276716572018584</v>
      </c>
      <c r="L6" s="5">
        <f>'Pancreas totals'!L6/('Pancreas totals'!$P6)*100</f>
        <v>0.41300980898296336</v>
      </c>
      <c r="M6" s="5">
        <f>'Pancreas totals'!M6/('Pancreas totals'!$P6)*100</f>
        <v>4.7496128033040783</v>
      </c>
      <c r="N6" s="5">
        <f>'Pancreas totals'!N6/('Pancreas totals'!$P6)*100</f>
        <v>0.25813113061435211</v>
      </c>
      <c r="O6" s="5">
        <f>'Pancreas totals'!O6/('Pancreas totals'!$P6)*100</f>
        <v>0.10325245224574084</v>
      </c>
      <c r="P6" s="2">
        <f t="shared" si="0"/>
        <v>100</v>
      </c>
    </row>
    <row r="7" spans="1:16" ht="16" x14ac:dyDescent="0.2">
      <c r="A7" s="1" t="s">
        <v>21</v>
      </c>
      <c r="B7" s="5">
        <f>'Pancreas totals'!B7/('Pancreas totals'!$P7)*100</f>
        <v>0.17401392111368907</v>
      </c>
      <c r="C7" s="5">
        <f>'Pancreas totals'!C7/('Pancreas totals'!$P7)*100</f>
        <v>4.6983758700696061</v>
      </c>
      <c r="D7" s="5">
        <f>'Pancreas totals'!D7/('Pancreas totals'!$P7)*100</f>
        <v>39.211136890951273</v>
      </c>
      <c r="E7" s="5">
        <f>'Pancreas totals'!E7/('Pancreas totals'!$P7)*100</f>
        <v>21.519721577726216</v>
      </c>
      <c r="F7" s="5">
        <f>'Pancreas totals'!F7/('Pancreas totals'!$P7)*100</f>
        <v>7.2505800464037122</v>
      </c>
      <c r="G7" s="5">
        <f>'Pancreas totals'!G7/('Pancreas totals'!$P7)*100</f>
        <v>17.45939675174014</v>
      </c>
      <c r="H7" s="5">
        <f>'Pancreas totals'!H7/('Pancreas totals'!$P7)*100</f>
        <v>1.334106728538283</v>
      </c>
      <c r="I7" s="5">
        <f>'Pancreas totals'!I7/('Pancreas totals'!$P7)*100</f>
        <v>0.11600928074245939</v>
      </c>
      <c r="J7" s="5">
        <f>'Pancreas totals'!J7/('Pancreas totals'!$P7)*100</f>
        <v>4.9883990719257536</v>
      </c>
      <c r="K7" s="5">
        <f>'Pancreas totals'!K7/('Pancreas totals'!$P7)*100</f>
        <v>0.98607888631090479</v>
      </c>
      <c r="L7" s="5">
        <f>'Pancreas totals'!L7/('Pancreas totals'!$P7)*100</f>
        <v>0.52204176334106722</v>
      </c>
      <c r="M7" s="5">
        <f>'Pancreas totals'!M7/('Pancreas totals'!$P7)*100</f>
        <v>1.2761020881670533</v>
      </c>
      <c r="N7" s="5">
        <f>'Pancreas totals'!N7/('Pancreas totals'!$P7)*100</f>
        <v>0.34802784222737815</v>
      </c>
      <c r="O7" s="5">
        <f>'Pancreas totals'!O7/('Pancreas totals'!$P7)*100</f>
        <v>0.11600928074245939</v>
      </c>
      <c r="P7" s="2">
        <f t="shared" si="0"/>
        <v>100</v>
      </c>
    </row>
    <row r="8" spans="1:16" ht="16" x14ac:dyDescent="0.2">
      <c r="A8" s="1" t="s">
        <v>22</v>
      </c>
      <c r="B8" s="5">
        <f>'Pancreas totals'!B8/('Pancreas totals'!$P8)*100</f>
        <v>23.384188626907072</v>
      </c>
      <c r="C8" s="5">
        <f>'Pancreas totals'!C8/('Pancreas totals'!$P8)*100</f>
        <v>2.7739251040221915</v>
      </c>
      <c r="D8" s="5">
        <f>'Pancreas totals'!D8/('Pancreas totals'!$P8)*100</f>
        <v>31.345353675450767</v>
      </c>
      <c r="E8" s="5">
        <f>'Pancreas totals'!E8/('Pancreas totals'!$P8)*100</f>
        <v>21.830790568654646</v>
      </c>
      <c r="F8" s="5">
        <f>'Pancreas totals'!F8/('Pancreas totals'!$P8)*100</f>
        <v>4.4660194174757279</v>
      </c>
      <c r="G8" s="5">
        <f>'Pancreas totals'!G8/('Pancreas totals'!$P8)*100</f>
        <v>10.429958391123439</v>
      </c>
      <c r="H8" s="5">
        <f>'Pancreas totals'!H8/('Pancreas totals'!$P8)*100</f>
        <v>2.5520110957004163</v>
      </c>
      <c r="I8" s="5">
        <f>'Pancreas totals'!I8/('Pancreas totals'!$P8)*100</f>
        <v>5.5478502080443824E-2</v>
      </c>
      <c r="J8" s="5">
        <f>'Pancreas totals'!J8/('Pancreas totals'!$P8)*100</f>
        <v>0.9986130374479889</v>
      </c>
      <c r="K8" s="5">
        <f>'Pancreas totals'!K8/('Pancreas totals'!$P8)*100</f>
        <v>0.38834951456310679</v>
      </c>
      <c r="L8" s="5">
        <f>'Pancreas totals'!L8/('Pancreas totals'!$P8)*100</f>
        <v>0.1941747572815534</v>
      </c>
      <c r="M8" s="5">
        <f>'Pancreas totals'!M8/('Pancreas totals'!$P8)*100</f>
        <v>1.4979195561719834</v>
      </c>
      <c r="N8" s="5">
        <f>'Pancreas totals'!N8/('Pancreas totals'!$P8)*100</f>
        <v>2.7739251040221912E-2</v>
      </c>
      <c r="O8" s="5">
        <f>'Pancreas totals'!O8/('Pancreas totals'!$P8)*100</f>
        <v>5.5478502080443824E-2</v>
      </c>
      <c r="P8" s="2">
        <f t="shared" si="0"/>
        <v>100</v>
      </c>
    </row>
    <row r="9" spans="1:16" ht="16" x14ac:dyDescent="0.2">
      <c r="A9" s="1" t="s">
        <v>23</v>
      </c>
      <c r="B9" s="5">
        <f>'Pancreas totals'!B9/('Pancreas totals'!$P9)*100</f>
        <v>0.15349194167306215</v>
      </c>
      <c r="C9" s="5">
        <f>'Pancreas totals'!C9/('Pancreas totals'!$P9)*100</f>
        <v>3.9907904834996164</v>
      </c>
      <c r="D9" s="5">
        <f>'Pancreas totals'!D9/('Pancreas totals'!$P9)*100</f>
        <v>21.795855717574828</v>
      </c>
      <c r="E9" s="5">
        <f>'Pancreas totals'!E9/('Pancreas totals'!$P9)*100</f>
        <v>37.989255564082889</v>
      </c>
      <c r="F9" s="5">
        <f>'Pancreas totals'!F9/('Pancreas totals'!$P9)*100</f>
        <v>7.7513430544896389</v>
      </c>
      <c r="G9" s="5">
        <f>'Pancreas totals'!G9/('Pancreas totals'!$P9)*100</f>
        <v>21.488871834228704</v>
      </c>
      <c r="H9" s="5">
        <f>'Pancreas totals'!H9/('Pancreas totals'!$P9)*100</f>
        <v>0.53722179585571761</v>
      </c>
      <c r="I9" s="5">
        <f>'Pancreas totals'!I9/('Pancreas totals'!$P9)*100</f>
        <v>7.6745970836531077E-2</v>
      </c>
      <c r="J9" s="5">
        <f>'Pancreas totals'!J9/('Pancreas totals'!$P9)*100</f>
        <v>4.8349961627014579</v>
      </c>
      <c r="K9" s="5">
        <f>'Pancreas totals'!K9/('Pancreas totals'!$P9)*100</f>
        <v>0.76745970836531074</v>
      </c>
      <c r="L9" s="5">
        <f>'Pancreas totals'!L9/('Pancreas totals'!$P9)*100</f>
        <v>7.6745970836531077E-2</v>
      </c>
      <c r="M9" s="5">
        <f>'Pancreas totals'!M9/('Pancreas totals'!$P9)*100</f>
        <v>0.38372985418265537</v>
      </c>
      <c r="N9" s="5">
        <f>'Pancreas totals'!N9/('Pancreas totals'!$P9)*100</f>
        <v>7.6745970836531077E-2</v>
      </c>
      <c r="O9" s="5">
        <f>'Pancreas totals'!O9/('Pancreas totals'!$P9)*100</f>
        <v>7.6745970836531077E-2</v>
      </c>
      <c r="P9" s="2">
        <f t="shared" si="0"/>
        <v>99.999999999999986</v>
      </c>
    </row>
    <row r="10" spans="1:16" ht="16" x14ac:dyDescent="0.2">
      <c r="A10" s="1" t="s">
        <v>24</v>
      </c>
      <c r="B10" s="5">
        <f>'Pancreas totals'!B10/('Pancreas totals'!$P10)*100</f>
        <v>0</v>
      </c>
      <c r="C10" s="5">
        <f>'Pancreas totals'!C10/('Pancreas totals'!$P10)*100</f>
        <v>0</v>
      </c>
      <c r="D10" s="5">
        <f>'Pancreas totals'!D10/('Pancreas totals'!$P10)*100</f>
        <v>59.383378016085786</v>
      </c>
      <c r="E10" s="5">
        <f>'Pancreas totals'!E10/('Pancreas totals'!$P10)*100</f>
        <v>31.635388739946379</v>
      </c>
      <c r="F10" s="5">
        <f>'Pancreas totals'!F10/('Pancreas totals'!$P10)*100</f>
        <v>3.284182305630027</v>
      </c>
      <c r="G10" s="5">
        <f>'Pancreas totals'!G10/('Pancreas totals'!$P10)*100</f>
        <v>0</v>
      </c>
      <c r="H10" s="5">
        <f>'Pancreas totals'!H10/('Pancreas totals'!$P10)*100</f>
        <v>0</v>
      </c>
      <c r="I10" s="5">
        <f>'Pancreas totals'!I10/('Pancreas totals'!$P10)*100</f>
        <v>0</v>
      </c>
      <c r="J10" s="5">
        <f>'Pancreas totals'!J10/('Pancreas totals'!$P10)*100</f>
        <v>5.6970509383378021</v>
      </c>
      <c r="K10" s="5">
        <f>'Pancreas totals'!K10/('Pancreas totals'!$P10)*100</f>
        <v>0</v>
      </c>
      <c r="L10" s="5">
        <f>'Pancreas totals'!L10/('Pancreas totals'!$P10)*100</f>
        <v>0</v>
      </c>
      <c r="M10" s="5">
        <f>'Pancreas totals'!M10/('Pancreas totals'!$P10)*100</f>
        <v>0</v>
      </c>
      <c r="N10" s="5">
        <f>'Pancreas totals'!N10/('Pancreas totals'!$P10)*100</f>
        <v>0</v>
      </c>
      <c r="O10" s="5">
        <f>'Pancreas totals'!O10/('Pancreas totals'!$P10)*100</f>
        <v>0</v>
      </c>
      <c r="P10" s="2">
        <f t="shared" si="0"/>
        <v>99.999999999999986</v>
      </c>
    </row>
    <row r="11" spans="1:16" ht="16" x14ac:dyDescent="0.2">
      <c r="A11" s="1" t="s">
        <v>25</v>
      </c>
      <c r="B11" s="5">
        <f>'Pancreas totals'!B11/('Pancreas totals'!$P11)*100</f>
        <v>7.8529657477025889</v>
      </c>
      <c r="C11" s="5">
        <f>'Pancreas totals'!C11/('Pancreas totals'!$P11)*100</f>
        <v>2.297410192147034</v>
      </c>
      <c r="D11" s="5">
        <f>'Pancreas totals'!D11/('Pancreas totals'!$P11)*100</f>
        <v>42.105263157894733</v>
      </c>
      <c r="E11" s="5">
        <f>'Pancreas totals'!E11/('Pancreas totals'!$P11)*100</f>
        <v>12.865497076023392</v>
      </c>
      <c r="F11" s="5">
        <f>'Pancreas totals'!F11/('Pancreas totals'!$P11)*100</f>
        <v>5.3049289891395155</v>
      </c>
      <c r="G11" s="5">
        <f>'Pancreas totals'!G11/('Pancreas totals'!$P11)*100</f>
        <v>18.546365914786968</v>
      </c>
      <c r="H11" s="5">
        <f>'Pancreas totals'!H11/('Pancreas totals'!$P11)*100</f>
        <v>0.8771929824561403</v>
      </c>
      <c r="I11" s="5">
        <f>'Pancreas totals'!I11/('Pancreas totals'!$P11)*100</f>
        <v>0.33416875522138678</v>
      </c>
      <c r="J11" s="5">
        <f>'Pancreas totals'!J11/('Pancreas totals'!$P11)*100</f>
        <v>8.8972431077694232</v>
      </c>
      <c r="K11" s="5">
        <f>'Pancreas totals'!K11/('Pancreas totals'!$P11)*100</f>
        <v>0.29239766081871343</v>
      </c>
      <c r="L11" s="5">
        <f>'Pancreas totals'!L11/('Pancreas totals'!$P11)*100</f>
        <v>0.29239766081871343</v>
      </c>
      <c r="M11" s="5">
        <f>'Pancreas totals'!M11/('Pancreas totals'!$P11)*100</f>
        <v>0.25062656641604009</v>
      </c>
      <c r="N11" s="5">
        <f>'Pancreas totals'!N11/('Pancreas totals'!$P11)*100</f>
        <v>8.3542188805346695E-2</v>
      </c>
      <c r="O11" s="5">
        <f>'Pancreas totals'!O11/('Pancreas totals'!$P11)*100</f>
        <v>0</v>
      </c>
      <c r="P11" s="2">
        <f t="shared" si="0"/>
        <v>100</v>
      </c>
    </row>
    <row r="14" spans="1:16" x14ac:dyDescent="0.2">
      <c r="A14" s="7" t="s">
        <v>62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"/>
  <sheetViews>
    <sheetView zoomScaleNormal="100" workbookViewId="0">
      <selection activeCell="A18" sqref="A18"/>
    </sheetView>
  </sheetViews>
  <sheetFormatPr baseColWidth="10" defaultColWidth="8.33203125" defaultRowHeight="15" x14ac:dyDescent="0.2"/>
  <cols>
    <col min="17" max="17" width="11.1640625" customWidth="1"/>
    <col min="1023" max="1024" width="11.33203125" customWidth="1"/>
  </cols>
  <sheetData>
    <row r="1" spans="1:18" ht="64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10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2" t="s">
        <v>37</v>
      </c>
    </row>
    <row r="2" spans="1:18" ht="16" x14ac:dyDescent="0.2">
      <c r="A2" s="1" t="s">
        <v>38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8" ht="32" x14ac:dyDescent="0.2">
      <c r="A3" s="1" t="s">
        <v>39</v>
      </c>
      <c r="B3" s="4">
        <v>10683</v>
      </c>
      <c r="C3" s="4">
        <v>1188</v>
      </c>
      <c r="D3" s="4">
        <v>474</v>
      </c>
      <c r="E3" s="4">
        <v>400</v>
      </c>
      <c r="F3" s="4">
        <v>53</v>
      </c>
      <c r="G3" s="4">
        <v>485</v>
      </c>
      <c r="H3" s="4">
        <v>113829</v>
      </c>
      <c r="I3" s="4">
        <v>255</v>
      </c>
      <c r="J3" s="4">
        <v>1566</v>
      </c>
      <c r="K3" s="4">
        <v>4502</v>
      </c>
      <c r="L3" s="2">
        <f>SUM(B3:K3)</f>
        <v>133435</v>
      </c>
    </row>
    <row r="4" spans="1:18" ht="16" x14ac:dyDescent="0.2">
      <c r="A4" s="1" t="s">
        <v>40</v>
      </c>
      <c r="B4" s="4">
        <v>56915</v>
      </c>
      <c r="C4" s="4">
        <v>12135</v>
      </c>
      <c r="D4" s="4">
        <v>46455</v>
      </c>
      <c r="E4" s="4">
        <v>2083</v>
      </c>
      <c r="F4" s="4">
        <v>1701</v>
      </c>
      <c r="G4" s="4">
        <v>5551</v>
      </c>
      <c r="H4" s="4">
        <v>443157</v>
      </c>
      <c r="I4" s="4">
        <v>0</v>
      </c>
      <c r="J4" s="4">
        <v>110867</v>
      </c>
      <c r="K4" s="4">
        <v>12625</v>
      </c>
      <c r="L4" s="2">
        <f>SUM(B4:K4)</f>
        <v>691489</v>
      </c>
    </row>
    <row r="5" spans="1:18" ht="32" x14ac:dyDescent="0.2">
      <c r="A5" s="1" t="s">
        <v>41</v>
      </c>
      <c r="B5" s="4">
        <v>444</v>
      </c>
      <c r="C5" s="4">
        <v>152</v>
      </c>
      <c r="D5" s="4">
        <v>661</v>
      </c>
      <c r="E5" s="4">
        <v>0</v>
      </c>
      <c r="F5" s="4">
        <v>0</v>
      </c>
      <c r="G5" s="4">
        <v>4705</v>
      </c>
      <c r="H5" s="4">
        <v>256</v>
      </c>
      <c r="I5" s="4">
        <v>0</v>
      </c>
      <c r="J5" s="4">
        <v>1450</v>
      </c>
      <c r="K5" s="4">
        <v>188</v>
      </c>
      <c r="L5" s="2">
        <f>SUM(B5:K5)</f>
        <v>7856</v>
      </c>
    </row>
    <row r="6" spans="1:18" ht="16" x14ac:dyDescent="0.2">
      <c r="A6" s="1" t="s">
        <v>42</v>
      </c>
      <c r="B6" s="4">
        <v>20460</v>
      </c>
      <c r="C6" s="4">
        <v>5213</v>
      </c>
      <c r="D6" s="4">
        <v>7387</v>
      </c>
      <c r="E6" s="4">
        <v>1368</v>
      </c>
      <c r="F6" s="4">
        <v>2029</v>
      </c>
      <c r="G6" s="4">
        <v>5425</v>
      </c>
      <c r="H6" s="4">
        <v>70968</v>
      </c>
      <c r="I6" s="4">
        <v>2031</v>
      </c>
      <c r="J6" s="4">
        <v>30253</v>
      </c>
      <c r="K6" s="4">
        <v>820</v>
      </c>
      <c r="L6" s="2">
        <f>SUM(B6:K6)</f>
        <v>145954</v>
      </c>
    </row>
    <row r="10" spans="1:18" ht="16" x14ac:dyDescent="0.2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50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55</v>
      </c>
      <c r="N10" s="1" t="s">
        <v>56</v>
      </c>
      <c r="O10" s="1" t="s">
        <v>57</v>
      </c>
      <c r="P10" s="1" t="s">
        <v>58</v>
      </c>
      <c r="Q10" s="1" t="s">
        <v>59</v>
      </c>
      <c r="R10" t="s">
        <v>37</v>
      </c>
    </row>
    <row r="11" spans="1:18" ht="16" x14ac:dyDescent="0.2">
      <c r="A11" s="1" t="s">
        <v>38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 ht="32" x14ac:dyDescent="0.2">
      <c r="A12" s="1" t="s">
        <v>39</v>
      </c>
      <c r="B12" s="4">
        <v>0</v>
      </c>
      <c r="C12" s="4">
        <v>27163</v>
      </c>
      <c r="D12" s="4">
        <v>22622</v>
      </c>
      <c r="E12" s="4">
        <v>0</v>
      </c>
      <c r="F12" s="4">
        <v>0</v>
      </c>
      <c r="G12" s="4">
        <v>4559</v>
      </c>
      <c r="H12" s="4">
        <v>0</v>
      </c>
      <c r="I12" s="4">
        <v>730</v>
      </c>
      <c r="J12" s="4">
        <v>77</v>
      </c>
      <c r="K12" s="4">
        <v>730</v>
      </c>
      <c r="L12" s="4">
        <v>0</v>
      </c>
      <c r="M12" s="4">
        <v>13</v>
      </c>
      <c r="N12" s="4">
        <v>43</v>
      </c>
      <c r="O12" s="4">
        <v>8028</v>
      </c>
      <c r="P12" s="4">
        <v>2822</v>
      </c>
      <c r="Q12" s="4">
        <v>66648</v>
      </c>
      <c r="R12">
        <f>SUM(B12:Q12)</f>
        <v>133435</v>
      </c>
    </row>
    <row r="13" spans="1:18" ht="16" x14ac:dyDescent="0.2">
      <c r="A13" s="1" t="s">
        <v>40</v>
      </c>
      <c r="B13" s="4">
        <v>774</v>
      </c>
      <c r="C13" s="4">
        <v>26089</v>
      </c>
      <c r="D13" s="4">
        <v>255287</v>
      </c>
      <c r="E13" s="4">
        <v>19132</v>
      </c>
      <c r="F13" s="4">
        <v>65533</v>
      </c>
      <c r="G13" s="4">
        <v>113404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44366</v>
      </c>
      <c r="O13" s="4">
        <v>77380</v>
      </c>
      <c r="P13" s="4">
        <v>89524</v>
      </c>
      <c r="Q13" s="4">
        <v>0</v>
      </c>
      <c r="R13">
        <f>SUM(B13:Q13)</f>
        <v>691489</v>
      </c>
    </row>
    <row r="14" spans="1:18" ht="32" x14ac:dyDescent="0.2">
      <c r="A14" s="1" t="s">
        <v>41</v>
      </c>
      <c r="B14" s="4">
        <v>0</v>
      </c>
      <c r="C14" s="4">
        <v>1317</v>
      </c>
      <c r="D14" s="4">
        <v>2165</v>
      </c>
      <c r="E14" s="4">
        <v>0</v>
      </c>
      <c r="F14" s="4">
        <v>0</v>
      </c>
      <c r="G14" s="4">
        <v>2090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2284</v>
      </c>
      <c r="P14" s="4">
        <v>0</v>
      </c>
      <c r="Q14" s="4">
        <v>0</v>
      </c>
      <c r="R14">
        <f>SUM(B14:Q14)</f>
        <v>7856</v>
      </c>
    </row>
    <row r="15" spans="1:18" ht="16" x14ac:dyDescent="0.2">
      <c r="A15" s="1" t="s">
        <v>42</v>
      </c>
      <c r="B15" s="4">
        <v>3999</v>
      </c>
      <c r="C15" s="4">
        <v>6671</v>
      </c>
      <c r="D15" s="4">
        <v>24560</v>
      </c>
      <c r="E15" s="4">
        <v>0</v>
      </c>
      <c r="F15" s="4">
        <v>0</v>
      </c>
      <c r="G15" s="4">
        <v>18147</v>
      </c>
      <c r="H15" s="4">
        <v>5484</v>
      </c>
      <c r="I15" s="4">
        <v>24450</v>
      </c>
      <c r="J15" s="4">
        <v>8486</v>
      </c>
      <c r="K15" s="4">
        <v>14105</v>
      </c>
      <c r="L15" s="4">
        <v>7305</v>
      </c>
      <c r="M15" s="4">
        <v>10317</v>
      </c>
      <c r="N15" s="4">
        <v>0</v>
      </c>
      <c r="O15" s="4">
        <v>12105</v>
      </c>
      <c r="P15" s="4">
        <v>10325</v>
      </c>
      <c r="Q15" s="4">
        <v>0</v>
      </c>
      <c r="R15">
        <f>SUM(B15:Q15)</f>
        <v>145954</v>
      </c>
    </row>
    <row r="18" spans="1:1" x14ac:dyDescent="0.2">
      <c r="A18" s="7" t="s">
        <v>61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"/>
  <sheetViews>
    <sheetView zoomScaleNormal="100" workbookViewId="0">
      <selection activeCell="C20" sqref="C20"/>
    </sheetView>
  </sheetViews>
  <sheetFormatPr baseColWidth="10" defaultColWidth="8.33203125" defaultRowHeight="15" x14ac:dyDescent="0.2"/>
  <cols>
    <col min="1" max="1" width="14" style="2" customWidth="1"/>
    <col min="7" max="7" width="9.6640625" style="2" customWidth="1"/>
    <col min="11" max="11" width="10.33203125" style="2" customWidth="1"/>
    <col min="17" max="17" width="11.33203125" customWidth="1"/>
  </cols>
  <sheetData>
    <row r="1" spans="1:18" ht="64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10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2" t="s">
        <v>60</v>
      </c>
    </row>
    <row r="2" spans="1:18" ht="16" x14ac:dyDescent="0.2">
      <c r="A2" s="1" t="s">
        <v>38</v>
      </c>
    </row>
    <row r="3" spans="1:18" ht="16" x14ac:dyDescent="0.2">
      <c r="A3" s="1" t="s">
        <v>39</v>
      </c>
      <c r="B3" s="6">
        <f>'Mouse brain RNA totals'!B3/'Mouse brain RNA totals'!$L3*100</f>
        <v>8.0061453141979246</v>
      </c>
      <c r="C3" s="6">
        <f>'Mouse brain RNA totals'!C3/'Mouse brain RNA totals'!$L3*100</f>
        <v>0.89032113013826963</v>
      </c>
      <c r="D3" s="6">
        <f>'Mouse brain RNA totals'!D3/'Mouse brain RNA totals'!$L3*100</f>
        <v>0.35522913778244086</v>
      </c>
      <c r="E3" s="6">
        <f>'Mouse brain RNA totals'!E3/'Mouse brain RNA totals'!$L3*100</f>
        <v>0.29977142428897968</v>
      </c>
      <c r="F3" s="6">
        <f>'Mouse brain RNA totals'!F3/'Mouse brain RNA totals'!$L3*100</f>
        <v>3.9719713718289806E-2</v>
      </c>
      <c r="G3" s="6">
        <f>'Mouse brain RNA totals'!G3/'Mouse brain RNA totals'!$L3*100</f>
        <v>0.36347285195038781</v>
      </c>
      <c r="H3" s="6">
        <f>'Mouse brain RNA totals'!H3/'Mouse brain RNA totals'!$L3*100</f>
        <v>85.306703638475668</v>
      </c>
      <c r="I3" s="6">
        <f>'Mouse brain RNA totals'!I3/'Mouse brain RNA totals'!$L3*100</f>
        <v>0.19110428298422452</v>
      </c>
      <c r="J3" s="6">
        <f>'Mouse brain RNA totals'!J3/'Mouse brain RNA totals'!$L3*100</f>
        <v>1.1736051260913554</v>
      </c>
      <c r="K3" s="6">
        <f>'Mouse brain RNA totals'!K3/'Mouse brain RNA totals'!$L3*100</f>
        <v>3.3739273803724665</v>
      </c>
      <c r="L3" s="2">
        <f>'Mouse brain RNA totals'!L3/'Mouse brain RNA totals'!$L3*100</f>
        <v>100</v>
      </c>
    </row>
    <row r="4" spans="1:18" ht="16" x14ac:dyDescent="0.2">
      <c r="A4" s="1" t="s">
        <v>40</v>
      </c>
      <c r="B4" s="6">
        <f>'Mouse brain RNA totals'!B4/'Mouse brain RNA totals'!$L4*100</f>
        <v>8.2307889207203591</v>
      </c>
      <c r="C4" s="6">
        <f>'Mouse brain RNA totals'!C4/'Mouse brain RNA totals'!$L4*100</f>
        <v>1.7549086102598883</v>
      </c>
      <c r="D4" s="6">
        <f>'Mouse brain RNA totals'!D4/'Mouse brain RNA totals'!$L4*100</f>
        <v>6.7181112063966308</v>
      </c>
      <c r="E4" s="6">
        <f>'Mouse brain RNA totals'!E4/'Mouse brain RNA totals'!$L4*100</f>
        <v>0.30123400372240194</v>
      </c>
      <c r="F4" s="6">
        <f>'Mouse brain RNA totals'!F4/'Mouse brain RNA totals'!$L4*100</f>
        <v>0.24599089790293122</v>
      </c>
      <c r="G4" s="6">
        <f>'Mouse brain RNA totals'!G4/'Mouse brain RNA totals'!$L4*100</f>
        <v>0.80276041990545044</v>
      </c>
      <c r="H4" s="6">
        <f>'Mouse brain RNA totals'!H4/'Mouse brain RNA totals'!$L4*100</f>
        <v>64.087353522615686</v>
      </c>
      <c r="I4" s="6">
        <f>'Mouse brain RNA totals'!I4/'Mouse brain RNA totals'!$L4*100</f>
        <v>0</v>
      </c>
      <c r="J4" s="6">
        <f>'Mouse brain RNA totals'!J4/'Mouse brain RNA totals'!$L4*100</f>
        <v>16.033082232689168</v>
      </c>
      <c r="K4" s="6">
        <f>'Mouse brain RNA totals'!K4/'Mouse brain RNA totals'!$L4*100</f>
        <v>1.8257701857874817</v>
      </c>
      <c r="L4" s="2">
        <f>'Mouse brain RNA totals'!L4/'Mouse brain RNA totals'!$L4*100</f>
        <v>100</v>
      </c>
    </row>
    <row r="5" spans="1:18" ht="16" x14ac:dyDescent="0.2">
      <c r="A5" s="1" t="s">
        <v>41</v>
      </c>
      <c r="B5" s="6">
        <f>'Mouse brain RNA totals'!B5/'Mouse brain RNA totals'!$L5*100</f>
        <v>5.6517311608961309</v>
      </c>
      <c r="C5" s="6">
        <f>'Mouse brain RNA totals'!C5/'Mouse brain RNA totals'!$L5*100</f>
        <v>1.9348268839103868</v>
      </c>
      <c r="D5" s="6">
        <f>'Mouse brain RNA totals'!D5/'Mouse brain RNA totals'!$L5*100</f>
        <v>8.4139511201629329</v>
      </c>
      <c r="E5" s="6">
        <f>'Mouse brain RNA totals'!E5/'Mouse brain RNA totals'!$L5*100</f>
        <v>0</v>
      </c>
      <c r="F5" s="6">
        <f>'Mouse brain RNA totals'!F5/'Mouse brain RNA totals'!$L5*100</f>
        <v>0</v>
      </c>
      <c r="G5" s="6">
        <f>'Mouse brain RNA totals'!G5/'Mouse brain RNA totals'!$L5*100</f>
        <v>59.890529531568227</v>
      </c>
      <c r="H5" s="6">
        <f>'Mouse brain RNA totals'!H5/'Mouse brain RNA totals'!$L5*100</f>
        <v>3.2586558044806515</v>
      </c>
      <c r="I5" s="6">
        <f>'Mouse brain RNA totals'!I5/'Mouse brain RNA totals'!$L5*100</f>
        <v>0</v>
      </c>
      <c r="J5" s="6">
        <f>'Mouse brain RNA totals'!J5/'Mouse brain RNA totals'!$L5*100</f>
        <v>18.457230142566193</v>
      </c>
      <c r="K5" s="6">
        <f>'Mouse brain RNA totals'!K5/'Mouse brain RNA totals'!$L5*100</f>
        <v>2.3930753564154785</v>
      </c>
      <c r="L5" s="2">
        <f>'Mouse brain RNA totals'!L5/'Mouse brain RNA totals'!$L5*100</f>
        <v>100</v>
      </c>
    </row>
    <row r="6" spans="1:18" ht="16" x14ac:dyDescent="0.2">
      <c r="A6" s="1" t="s">
        <v>42</v>
      </c>
      <c r="B6" s="6">
        <f>'Mouse brain RNA totals'!B6/'Mouse brain RNA totals'!$L6*100</f>
        <v>14.018115296600298</v>
      </c>
      <c r="C6" s="6">
        <f>'Mouse brain RNA totals'!C6/'Mouse brain RNA totals'!$L6*100</f>
        <v>3.5716732669197144</v>
      </c>
      <c r="D6" s="6">
        <f>'Mouse brain RNA totals'!D6/'Mouse brain RNA totals'!$L6*100</f>
        <v>5.0611836606053968</v>
      </c>
      <c r="E6" s="6">
        <f>'Mouse brain RNA totals'!E6/'Mouse brain RNA totals'!$L6*100</f>
        <v>0.93728160927415483</v>
      </c>
      <c r="F6" s="6">
        <f>'Mouse brain RNA totals'!F6/'Mouse brain RNA totals'!$L6*100</f>
        <v>1.3901640242816231</v>
      </c>
      <c r="G6" s="6">
        <f>'Mouse brain RNA totals'!G6/'Mouse brain RNA totals'!$L6*100</f>
        <v>3.7169245104622002</v>
      </c>
      <c r="H6" s="6">
        <f>'Mouse brain RNA totals'!H6/'Mouse brain RNA totals'!$L6*100</f>
        <v>48.623538923222384</v>
      </c>
      <c r="I6" s="6">
        <f>'Mouse brain RNA totals'!I6/'Mouse brain RNA totals'!$L6*100</f>
        <v>1.3915343190320237</v>
      </c>
      <c r="J6" s="6">
        <f>'Mouse brain RNA totals'!J6/'Mouse brain RNA totals'!$L6*100</f>
        <v>20.727763541937872</v>
      </c>
      <c r="K6" s="6">
        <f>'Mouse brain RNA totals'!K6/'Mouse brain RNA totals'!$L6*100</f>
        <v>0.5618208476643326</v>
      </c>
      <c r="L6" s="2">
        <f>'Mouse brain RNA totals'!L6/'Mouse brain RNA totals'!$L6*100</f>
        <v>100</v>
      </c>
    </row>
    <row r="10" spans="1:18" ht="16" x14ac:dyDescent="0.2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50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55</v>
      </c>
      <c r="N10" s="1" t="s">
        <v>56</v>
      </c>
      <c r="O10" s="1" t="s">
        <v>57</v>
      </c>
      <c r="P10" s="1" t="s">
        <v>58</v>
      </c>
      <c r="Q10" s="1" t="s">
        <v>59</v>
      </c>
      <c r="R10" t="s">
        <v>37</v>
      </c>
    </row>
    <row r="11" spans="1:18" ht="16" x14ac:dyDescent="0.2">
      <c r="A11" s="1" t="s">
        <v>38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 ht="16" x14ac:dyDescent="0.2">
      <c r="A12" s="1" t="s">
        <v>39</v>
      </c>
      <c r="B12" s="5">
        <f>'Mouse brain RNA totals'!B12/'Mouse brain RNA totals'!$R12*100</f>
        <v>0</v>
      </c>
      <c r="C12" s="5">
        <f>'Mouse brain RNA totals'!C12/'Mouse brain RNA totals'!$R$12*100</f>
        <v>20.356727994903885</v>
      </c>
      <c r="D12" s="5">
        <f>'Mouse brain RNA totals'!D12/'Mouse brain RNA totals'!$R$12*100</f>
        <v>16.953572900663243</v>
      </c>
      <c r="E12" s="5">
        <f>'Mouse brain RNA totals'!E12/'Mouse brain RNA totals'!$R$12*100</f>
        <v>0</v>
      </c>
      <c r="F12" s="5">
        <f>'Mouse brain RNA totals'!F12/'Mouse brain RNA totals'!$R$12*100</f>
        <v>0</v>
      </c>
      <c r="G12" s="5">
        <f>'Mouse brain RNA totals'!G12/'Mouse brain RNA totals'!$R$12*100</f>
        <v>3.4166448083336456</v>
      </c>
      <c r="H12" s="5">
        <f>'Mouse brain RNA totals'!H12/'Mouse brain RNA totals'!$R$12*100</f>
        <v>0</v>
      </c>
      <c r="I12" s="5">
        <f>'Mouse brain RNA totals'!I12/'Mouse brain RNA totals'!$R$12*100</f>
        <v>0.54708284932738793</v>
      </c>
      <c r="J12" s="5">
        <f>'Mouse brain RNA totals'!J12/'Mouse brain RNA totals'!$R$12*100</f>
        <v>5.7705999175628582E-2</v>
      </c>
      <c r="K12" s="5">
        <f>'Mouse brain RNA totals'!K12/'Mouse brain RNA totals'!$R$12*100</f>
        <v>0.54708284932738793</v>
      </c>
      <c r="L12" s="5">
        <f>'Mouse brain RNA totals'!L12/'Mouse brain RNA totals'!$R$12*100</f>
        <v>0</v>
      </c>
      <c r="M12" s="5">
        <f>'Mouse brain RNA totals'!M12/'Mouse brain RNA totals'!$R$12*100</f>
        <v>9.7425712893918388E-3</v>
      </c>
      <c r="N12" s="5">
        <f>'Mouse brain RNA totals'!N12/'Mouse brain RNA totals'!$R$12*100</f>
        <v>3.222542811106531E-2</v>
      </c>
      <c r="O12" s="5">
        <f>'Mouse brain RNA totals'!O12/'Mouse brain RNA totals'!$R$12*100</f>
        <v>6.0164124854798215</v>
      </c>
      <c r="P12" s="5">
        <f>'Mouse brain RNA totals'!P12/'Mouse brain RNA totals'!$R$12*100</f>
        <v>2.1148873983587517</v>
      </c>
      <c r="Q12" s="5">
        <f>'Mouse brain RNA totals'!Q12/'Mouse brain RNA totals'!$R$12*100</f>
        <v>49.947914715029789</v>
      </c>
      <c r="R12" s="5">
        <f>'Mouse brain RNA totals'!R12/'Mouse brain RNA totals'!$R$12*100</f>
        <v>100</v>
      </c>
    </row>
    <row r="13" spans="1:18" ht="16" x14ac:dyDescent="0.2">
      <c r="A13" s="1" t="s">
        <v>40</v>
      </c>
      <c r="B13" s="5">
        <f>'Mouse brain RNA totals'!B13/'Mouse brain RNA totals'!$R13*100</f>
        <v>0.11193236624154543</v>
      </c>
      <c r="C13" s="5">
        <f>'Mouse brain RNA totals'!C13/'Mouse brain RNA totals'!$R13*100</f>
        <v>3.7728727427334343</v>
      </c>
      <c r="D13" s="5">
        <f>'Mouse brain RNA totals'!D13/'Mouse brain RNA totals'!$R13*100</f>
        <v>36.918447003495359</v>
      </c>
      <c r="E13" s="5">
        <f>'Mouse brain RNA totals'!E13/'Mouse brain RNA totals'!$R13*100</f>
        <v>2.7667829857018695</v>
      </c>
      <c r="F13" s="5">
        <f>'Mouse brain RNA totals'!F13/'Mouse brain RNA totals'!$R13*100</f>
        <v>9.477084957244438</v>
      </c>
      <c r="G13" s="5">
        <f>'Mouse brain RNA totals'!G13/'Mouse brain RNA totals'!$R13*100</f>
        <v>16.399971655369789</v>
      </c>
      <c r="H13" s="5">
        <f>'Mouse brain RNA totals'!H13/'Mouse brain RNA totals'!$R13*100</f>
        <v>0</v>
      </c>
      <c r="I13" s="5">
        <f>'Mouse brain RNA totals'!I13/'Mouse brain RNA totals'!$R13*100</f>
        <v>0</v>
      </c>
      <c r="J13" s="5">
        <f>'Mouse brain RNA totals'!J13/'Mouse brain RNA totals'!$R13*100</f>
        <v>0</v>
      </c>
      <c r="K13" s="5">
        <f>'Mouse brain RNA totals'!K13/'Mouse brain RNA totals'!$R13*100</f>
        <v>0</v>
      </c>
      <c r="L13" s="5">
        <f>'Mouse brain RNA totals'!L13/'Mouse brain RNA totals'!$R13*100</f>
        <v>0</v>
      </c>
      <c r="M13" s="5">
        <f>'Mouse brain RNA totals'!M13/'Mouse brain RNA totals'!$R13*100</f>
        <v>0</v>
      </c>
      <c r="N13" s="5">
        <f>'Mouse brain RNA totals'!N13/'Mouse brain RNA totals'!$R13*100</f>
        <v>6.4160095099126666</v>
      </c>
      <c r="O13" s="5">
        <f>'Mouse brain RNA totals'!O13/'Mouse brain RNA totals'!$R13*100</f>
        <v>11.190344314949334</v>
      </c>
      <c r="P13" s="5">
        <f>'Mouse brain RNA totals'!P13/'Mouse brain RNA totals'!$R13*100</f>
        <v>12.946554464351568</v>
      </c>
      <c r="Q13" s="5">
        <f>'Mouse brain RNA totals'!Q13/'Mouse brain RNA totals'!$R13*100</f>
        <v>0</v>
      </c>
      <c r="R13" s="5">
        <f>'Mouse brain RNA totals'!R13/'Mouse brain RNA totals'!$R13*100</f>
        <v>100</v>
      </c>
    </row>
    <row r="14" spans="1:18" ht="16" x14ac:dyDescent="0.2">
      <c r="A14" s="1" t="s">
        <v>41</v>
      </c>
      <c r="B14" s="5">
        <f>'Mouse brain RNA totals'!B14/'Mouse brain RNA totals'!$R$14*100</f>
        <v>0</v>
      </c>
      <c r="C14" s="5">
        <f>'Mouse brain RNA totals'!C14/'Mouse brain RNA totals'!$R$14*100</f>
        <v>16.764256619144604</v>
      </c>
      <c r="D14" s="5">
        <f>'Mouse brain RNA totals'!D14/'Mouse brain RNA totals'!$R$14*100</f>
        <v>27.558553971486759</v>
      </c>
      <c r="E14" s="5">
        <f>'Mouse brain RNA totals'!E14/'Mouse brain RNA totals'!$R$14*100</f>
        <v>0</v>
      </c>
      <c r="F14" s="5">
        <f>'Mouse brain RNA totals'!F14/'Mouse brain RNA totals'!$R$14*100</f>
        <v>0</v>
      </c>
      <c r="G14" s="5">
        <f>'Mouse brain RNA totals'!G14/'Mouse brain RNA totals'!$R$14*100</f>
        <v>26.60386965376782</v>
      </c>
      <c r="H14" s="5">
        <f>'Mouse brain RNA totals'!H14/'Mouse brain RNA totals'!$R$14*100</f>
        <v>0</v>
      </c>
      <c r="I14" s="5">
        <f>'Mouse brain RNA totals'!I14/'Mouse brain RNA totals'!$R$14*100</f>
        <v>0</v>
      </c>
      <c r="J14" s="5">
        <f>'Mouse brain RNA totals'!J14/'Mouse brain RNA totals'!$R$14*100</f>
        <v>0</v>
      </c>
      <c r="K14" s="5">
        <f>'Mouse brain RNA totals'!K14/'Mouse brain RNA totals'!$R$14*100</f>
        <v>0</v>
      </c>
      <c r="L14" s="5">
        <f>'Mouse brain RNA totals'!L14/'Mouse brain RNA totals'!$R$14*100</f>
        <v>0</v>
      </c>
      <c r="M14" s="5">
        <f>'Mouse brain RNA totals'!M14/'Mouse brain RNA totals'!$R$14*100</f>
        <v>0</v>
      </c>
      <c r="N14" s="5">
        <f>'Mouse brain RNA totals'!N14/'Mouse brain RNA totals'!$R$14*100</f>
        <v>0</v>
      </c>
      <c r="O14" s="5">
        <f>'Mouse brain RNA totals'!O14/'Mouse brain RNA totals'!$R$14*100</f>
        <v>29.073319755600814</v>
      </c>
      <c r="P14" s="5">
        <f>'Mouse brain RNA totals'!P14/'Mouse brain RNA totals'!$R$14*100</f>
        <v>0</v>
      </c>
      <c r="Q14" s="5">
        <f>'Mouse brain RNA totals'!Q14/'Mouse brain RNA totals'!$R$14*100</f>
        <v>0</v>
      </c>
      <c r="R14" s="5">
        <f>'Mouse brain RNA totals'!R14/'Mouse brain RNA totals'!$R$14*100</f>
        <v>100</v>
      </c>
    </row>
    <row r="15" spans="1:18" ht="16" x14ac:dyDescent="0.2">
      <c r="A15" s="1" t="s">
        <v>42</v>
      </c>
      <c r="B15" s="5">
        <f>'Mouse brain RNA totals'!B15/'Mouse brain RNA totals'!$R$15*100</f>
        <v>2.739904353426422</v>
      </c>
      <c r="C15" s="5">
        <f>'Mouse brain RNA totals'!C15/'Mouse brain RNA totals'!$R$15*100</f>
        <v>4.5706181399619057</v>
      </c>
      <c r="D15" s="5">
        <f>'Mouse brain RNA totals'!D15/'Mouse brain RNA totals'!$R$15*100</f>
        <v>16.827219534921962</v>
      </c>
      <c r="E15" s="5">
        <f>'Mouse brain RNA totals'!E15/'Mouse brain RNA totals'!$R$15*100</f>
        <v>0</v>
      </c>
      <c r="F15" s="5">
        <f>'Mouse brain RNA totals'!F15/'Mouse brain RNA totals'!$R$15*100</f>
        <v>0</v>
      </c>
      <c r="G15" s="5">
        <f>'Mouse brain RNA totals'!G15/'Mouse brain RNA totals'!$R$15*100</f>
        <v>12.43336941776176</v>
      </c>
      <c r="H15" s="5">
        <f>'Mouse brain RNA totals'!H15/'Mouse brain RNA totals'!$R$15*100</f>
        <v>3.7573482055990244</v>
      </c>
      <c r="I15" s="5">
        <f>'Mouse brain RNA totals'!I15/'Mouse brain RNA totals'!$R$15*100</f>
        <v>16.751853323649918</v>
      </c>
      <c r="J15" s="5">
        <f>'Mouse brain RNA totals'!J15/'Mouse brain RNA totals'!$R$15*100</f>
        <v>5.8141606259506418</v>
      </c>
      <c r="K15" s="5">
        <f>'Mouse brain RNA totals'!K15/'Mouse brain RNA totals'!$R$15*100</f>
        <v>9.6640037272017221</v>
      </c>
      <c r="L15" s="5">
        <f>'Mouse brain RNA totals'!L15/'Mouse brain RNA totals'!$R$15*100</f>
        <v>5.0050015758389632</v>
      </c>
      <c r="M15" s="5">
        <f>'Mouse brain RNA totals'!M15/'Mouse brain RNA totals'!$R$15*100</f>
        <v>7.0686654699425855</v>
      </c>
      <c r="N15" s="5">
        <f>'Mouse brain RNA totals'!N15/'Mouse brain RNA totals'!$R$15*100</f>
        <v>0</v>
      </c>
      <c r="O15" s="5">
        <f>'Mouse brain RNA totals'!O15/'Mouse brain RNA totals'!$R$15*100</f>
        <v>8.2937089768009091</v>
      </c>
      <c r="P15" s="5">
        <f>'Mouse brain RNA totals'!P15/'Mouse brain RNA totals'!$R$15*100</f>
        <v>7.074146648944188</v>
      </c>
      <c r="Q15" s="5">
        <f>'Mouse brain RNA totals'!Q15/'Mouse brain RNA totals'!$R$15*100</f>
        <v>0</v>
      </c>
      <c r="R15" s="5">
        <f>'Mouse brain RNA totals'!R15/'Mouse brain RNA totals'!$R$15*100</f>
        <v>100</v>
      </c>
    </row>
    <row r="19" spans="1:1" x14ac:dyDescent="0.2">
      <c r="A19" s="7" t="s">
        <v>62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>
      <selection activeCell="G9" sqref="G9"/>
    </sheetView>
  </sheetViews>
  <sheetFormatPr baseColWidth="10" defaultColWidth="11.1640625" defaultRowHeight="15" x14ac:dyDescent="0.2"/>
  <sheetData>
    <row r="1" spans="1:1" x14ac:dyDescent="0.2">
      <c r="A1" s="2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Pancreas totals</vt:lpstr>
      <vt:lpstr>Pancreas relative</vt:lpstr>
      <vt:lpstr>Mouse brain RNA totals</vt:lpstr>
      <vt:lpstr>Mouse brain RNA relative</vt:lpstr>
      <vt:lpstr>Tabelle4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Malte Lücken</cp:lastModifiedBy>
  <cp:revision>12</cp:revision>
  <dcterms:created xsi:type="dcterms:W3CDTF">2016-10-13T07:13:21Z</dcterms:created>
  <dcterms:modified xsi:type="dcterms:W3CDTF">2021-09-07T12:05:44Z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